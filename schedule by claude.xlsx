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105 - 1705" sheetId="1" state="visible" r:id="rId1"/>
    <sheet name="1805 - 2405" sheetId="2" state="visible" r:id="rId2"/>
    <sheet name="2505 - 3105" sheetId="3" state="visible" r:id="rId3"/>
    <sheet name="0106 - 0706" sheetId="4" state="visible" r:id="rId4"/>
    <sheet name="0806 - 1406" sheetId="5" state="visible" r:id="rId5"/>
    <sheet name="1506 - 2106" sheetId="6" state="visible" r:id="rId6"/>
    <sheet name="2206 - 2806" sheetId="7" state="visible" r:id="rId7"/>
    <sheet name="2906-0507" sheetId="8" state="visible" r:id="rId8"/>
    <sheet name="0607-1207" sheetId="9" state="visible" r:id="rId9"/>
    <sheet name="1307-1907" sheetId="10" state="visible" r:id="rId10"/>
    <sheet name="2007-2607" sheetId="11" state="visible" r:id="rId11"/>
    <sheet name="2707-0208" sheetId="12" state="visible" r:id="rId12"/>
    <sheet name="0308 - 0908" sheetId="13" state="visible" r:id="rId13"/>
    <sheet name="1008 - 1608" sheetId="14" state="visible" r:id="rId14"/>
    <sheet name="1708 - 2308" sheetId="15" state="visible" r:id="rId15"/>
    <sheet name="2408 - 3008" sheetId="16" state="visible" r:id="rId16"/>
    <sheet name="3108 - 0609" sheetId="17" state="visible" r:id="rId17"/>
    <sheet name="0709 - 1309 " sheetId="18" state="visible" r:id="rId18"/>
    <sheet name="test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"/>
    <numFmt numFmtId="165" formatCode="d&quot; de &quot;mmmm&quot; | &quot;dddd"/>
  </numFmts>
  <fonts count="45">
    <font>
      <name val="Arial"/>
      <color rgb="FF000000"/>
      <sz val="10"/>
      <scheme val="minor"/>
    </font>
    <font>
      <name val="Arial"/>
      <b val="1"/>
      <color rgb="FFFFFFFF"/>
      <sz val="18"/>
    </font>
    <font>
      <name val="Arial"/>
      <b val="1"/>
      <color rgb="FFFFFFFF"/>
      <sz val="11"/>
    </font>
    <font/>
    <font>
      <name val="Arial"/>
      <color theme="1"/>
    </font>
    <font>
      <name val="Arial"/>
      <b val="1"/>
      <color rgb="FFFFFFFF"/>
    </font>
    <font>
      <name val="Arial"/>
      <b val="1"/>
      <color rgb="FF00FFFF"/>
    </font>
    <font>
      <name val="Arial"/>
      <b val="1"/>
      <color rgb="FFFF9900"/>
    </font>
    <font>
      <name val="Arial"/>
      <b val="1"/>
      <color rgb="FFD5A6BD"/>
    </font>
    <font>
      <name val="Arial"/>
      <b val="1"/>
      <color rgb="FFFFFF00"/>
    </font>
    <font>
      <name val="Arial"/>
      <b val="1"/>
      <color rgb="FFF6B26B"/>
    </font>
    <font>
      <name val="Arial"/>
      <b val="1"/>
      <color rgb="FFFF00FF"/>
    </font>
    <font>
      <name val="Arial"/>
      <b val="1"/>
      <color rgb="FFE06666"/>
    </font>
    <font>
      <name val="Arial"/>
      <b val="1"/>
      <color rgb="FF00FF00"/>
    </font>
    <font>
      <name val="Arial"/>
      <b val="1"/>
      <color rgb="FFA64D79"/>
    </font>
    <font>
      <name val="Arial"/>
      <b val="1"/>
      <color rgb="FF93C47D"/>
    </font>
    <font>
      <name val="Arial"/>
      <b val="1"/>
      <color rgb="FF4A86E8"/>
    </font>
    <font>
      <name val="Arial"/>
      <b val="1"/>
      <color rgb="FFFF0000"/>
    </font>
    <font>
      <name val="Arial"/>
      <b val="1"/>
      <color rgb="FFFF6D01"/>
    </font>
    <font>
      <name val="Arial"/>
      <b val="1"/>
      <color rgb="FFE69138"/>
    </font>
    <font>
      <name val="Arial"/>
      <color rgb="FF4A86E8"/>
    </font>
    <font>
      <name val="Arial"/>
      <b val="1"/>
      <color rgb="FFB45F06"/>
    </font>
    <font>
      <name val="Arial"/>
      <b val="1"/>
      <color rgb="FF512AB6"/>
      <sz val="11"/>
    </font>
    <font>
      <name val="Arial"/>
      <color rgb="FFFFFFFF"/>
    </font>
    <font>
      <name val="Arial"/>
      <b val="1"/>
      <color rgb="FFEFEFEF"/>
    </font>
    <font>
      <name val="Arial"/>
      <b val="1"/>
      <color rgb="FFF4CCCC"/>
    </font>
    <font>
      <name val="Arial"/>
      <color rgb="FF8353FF"/>
      <scheme val="minor"/>
    </font>
    <font>
      <name val="Arial"/>
      <color rgb="FFB4A7D6"/>
      <scheme val="minor"/>
    </font>
    <font>
      <name val="Arial"/>
      <b val="1"/>
      <color rgb="FFFFFFFF"/>
      <sz val="13"/>
    </font>
    <font>
      <name val="Arial"/>
      <b val="1"/>
      <color rgb="FFFFFF00"/>
      <sz val="11"/>
    </font>
    <font>
      <name val="Arial"/>
      <b val="1"/>
      <color rgb="FF00FF00"/>
      <sz val="11"/>
    </font>
    <font>
      <name val="Arial"/>
      <b val="1"/>
      <color rgb="FFD5A6BD"/>
      <sz val="11"/>
    </font>
    <font>
      <name val="Arial"/>
      <b val="1"/>
      <color rgb="FF93C47D"/>
      <sz val="11"/>
    </font>
    <font>
      <name val="Arial"/>
      <b val="1"/>
      <color rgb="FF4A86E8"/>
      <sz val="11"/>
    </font>
    <font>
      <name val="Arial"/>
      <b val="1"/>
      <color rgb="FFFF00FF"/>
      <sz val="11"/>
    </font>
    <font>
      <name val="Arial"/>
      <b val="1"/>
      <color rgb="FF00FFFF"/>
      <sz val="11"/>
    </font>
    <font>
      <name val="Arial"/>
      <b val="1"/>
      <color rgb="FFA64D79"/>
      <sz val="11"/>
    </font>
    <font>
      <name val="Arial"/>
      <b val="1"/>
      <color rgb="FFEA9999"/>
      <sz val="11"/>
    </font>
    <font>
      <name val="Arial"/>
      <color theme="1"/>
      <sz val="11"/>
    </font>
    <font>
      <name val="Arial"/>
      <b val="1"/>
      <color rgb="FFEA9999"/>
    </font>
    <font>
      <name val="Arial"/>
      <b val="1"/>
      <color rgb="FFE69138"/>
      <sz val="11"/>
    </font>
    <font>
      <name val="Arial"/>
      <b val="1"/>
      <color rgb="FFFF0000"/>
      <sz val="11"/>
    </font>
    <font>
      <name val="Arial"/>
      <b val="1"/>
      <color rgb="FFB6D7A8"/>
    </font>
    <font>
      <name val="Arial"/>
      <color theme="1"/>
      <scheme val="minor"/>
    </font>
    <font>
      <name val="Arial"/>
      <color rgb="FFFFFFFF"/>
      <scheme val="minor"/>
    </font>
  </fonts>
  <fills count="5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3">
    <border/>
    <border>
      <left style="medium">
        <color rgb="FF666666"/>
      </left>
      <top style="medium">
        <color rgb="FF666666"/>
      </top>
      <bottom style="thin">
        <color rgb="FF666666"/>
      </bottom>
    </border>
    <border>
      <top style="medium">
        <color rgb="FF666666"/>
      </top>
      <bottom style="thin">
        <color rgb="FF666666"/>
      </bottom>
    </border>
    <border>
      <right style="medium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top style="thin">
        <color rgb="FF666666"/>
      </top>
      <bottom style="medium">
        <color rgb="FF666666"/>
      </bottom>
    </border>
    <border>
      <right style="medium">
        <color rgb="FF666666"/>
      </right>
      <top style="thin">
        <color rgb="FF666666"/>
      </top>
      <bottom style="medium">
        <color rgb="FF666666"/>
      </bottom>
    </border>
    <border>
      <right style="thin">
        <color rgb="FFFFFFFF"/>
      </right>
      <bottom style="thin">
        <color rgb="FFFFFFFF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thin">
        <color rgb="FF666666"/>
      </bottom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medium">
        <color rgb="FF666666"/>
      </right>
      <top style="thin">
        <color rgb="FF666666"/>
      </top>
      <bottom style="thin">
        <color rgb="FF666666"/>
      </bottom>
    </border>
    <border>
      <right style="medium">
        <color rgb="FF666666"/>
      </right>
      <top style="thin">
        <color rgb="FF666666"/>
      </top>
    </border>
  </borders>
  <cellStyleXfs count="1">
    <xf numFmtId="0" fontId="0" fillId="0" borderId="0"/>
  </cellStyleXfs>
  <cellXfs count="1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2" borderId="0" applyAlignment="1" pivotButton="0" quotePrefix="0" xfId="0">
      <alignment vertical="bottom"/>
    </xf>
    <xf numFmtId="0" fontId="5" fillId="2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/>
    </xf>
    <xf numFmtId="164" fontId="5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5" fillId="2" borderId="7" applyAlignment="1" pivotButton="0" quotePrefix="0" xfId="0">
      <alignment horizontal="center" vertical="center"/>
    </xf>
    <xf numFmtId="0" fontId="3" fillId="0" borderId="8" pivotButton="0" quotePrefix="0" xfId="0"/>
    <xf numFmtId="0" fontId="6" fillId="2" borderId="7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bottom"/>
    </xf>
    <xf numFmtId="0" fontId="5" fillId="2" borderId="8" applyAlignment="1" pivotButton="0" quotePrefix="0" xfId="0">
      <alignment horizontal="center"/>
    </xf>
    <xf numFmtId="0" fontId="5" fillId="2" borderId="8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/>
    </xf>
    <xf numFmtId="0" fontId="8" fillId="2" borderId="5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/>
    </xf>
    <xf numFmtId="0" fontId="7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bottom"/>
    </xf>
    <xf numFmtId="0" fontId="5" fillId="2" borderId="5" applyAlignment="1" pivotButton="0" quotePrefix="0" xfId="0">
      <alignment horizontal="center" vertical="center"/>
    </xf>
    <xf numFmtId="0" fontId="4" fillId="2" borderId="8" pivotButton="0" quotePrefix="0" xfId="0"/>
    <xf numFmtId="0" fontId="4" fillId="2" borderId="8" applyAlignment="1" pivotButton="0" quotePrefix="0" xfId="0">
      <alignment vertical="center"/>
    </xf>
    <xf numFmtId="0" fontId="11" fillId="2" borderId="5" applyAlignment="1" pivotButton="0" quotePrefix="0" xfId="0">
      <alignment horizontal="center"/>
    </xf>
    <xf numFmtId="0" fontId="12" fillId="2" borderId="6" applyAlignment="1" pivotButton="0" quotePrefix="0" xfId="0">
      <alignment horizontal="center"/>
    </xf>
    <xf numFmtId="0" fontId="13" fillId="2" borderId="5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/>
    </xf>
    <xf numFmtId="0" fontId="12" fillId="2" borderId="6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4" fillId="2" borderId="6" pivotButton="0" quotePrefix="0" xfId="0"/>
    <xf numFmtId="0" fontId="16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vertical="center"/>
    </xf>
    <xf numFmtId="0" fontId="15" fillId="2" borderId="5" applyAlignment="1" pivotButton="0" quotePrefix="0" xfId="0">
      <alignment horizontal="center"/>
    </xf>
    <xf numFmtId="0" fontId="8" fillId="2" borderId="7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/>
    </xf>
    <xf numFmtId="0" fontId="8" fillId="2" borderId="9" applyAlignment="1" pivotButton="0" quotePrefix="0" xfId="0">
      <alignment horizontal="center" vertical="center"/>
    </xf>
    <xf numFmtId="0" fontId="16" fillId="2" borderId="8" applyAlignment="1" pivotButton="0" quotePrefix="0" xfId="0">
      <alignment horizontal="center" vertical="center"/>
    </xf>
    <xf numFmtId="0" fontId="16" fillId="2" borderId="8" applyAlignment="1" pivotButton="0" quotePrefix="0" xfId="0">
      <alignment horizontal="center"/>
    </xf>
    <xf numFmtId="0" fontId="5" fillId="2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/>
    </xf>
    <xf numFmtId="0" fontId="12" fillId="2" borderId="11" applyAlignment="1" pivotButton="0" quotePrefix="0" xfId="0">
      <alignment horizontal="center"/>
    </xf>
    <xf numFmtId="0" fontId="14" fillId="2" borderId="12" applyAlignment="1" pivotButton="0" quotePrefix="0" xfId="0">
      <alignment horizontal="center"/>
    </xf>
    <xf numFmtId="0" fontId="6" fillId="2" borderId="12" applyAlignment="1" pivotButton="0" quotePrefix="0" xfId="0">
      <alignment horizontal="center"/>
    </xf>
    <xf numFmtId="0" fontId="17" fillId="2" borderId="12" applyAlignment="1" pivotButton="0" quotePrefix="0" xfId="0">
      <alignment horizontal="center"/>
    </xf>
    <xf numFmtId="0" fontId="14" fillId="2" borderId="11" applyAlignment="1" pivotButton="0" quotePrefix="0" xfId="0">
      <alignment horizontal="center"/>
    </xf>
    <xf numFmtId="0" fontId="18" fillId="2" borderId="13" applyAlignment="1" pivotButton="0" quotePrefix="0" xfId="0">
      <alignment horizontal="center"/>
    </xf>
    <xf numFmtId="0" fontId="19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17" fillId="2" borderId="12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14" fillId="2" borderId="12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15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0" fontId="16" fillId="2" borderId="7" applyAlignment="1" pivotButton="0" quotePrefix="0" xfId="0">
      <alignment horizontal="center" vertical="center"/>
    </xf>
    <xf numFmtId="0" fontId="17" fillId="2" borderId="7" applyAlignment="1" pivotButton="0" quotePrefix="0" xfId="0">
      <alignment horizontal="center" vertical="center"/>
    </xf>
    <xf numFmtId="0" fontId="20" fillId="2" borderId="0" applyAlignment="1" pivotButton="0" quotePrefix="0" xfId="0">
      <alignment vertical="bottom"/>
    </xf>
    <xf numFmtId="0" fontId="21" fillId="2" borderId="11" applyAlignment="1" pivotButton="0" quotePrefix="0" xfId="0">
      <alignment horizontal="center"/>
    </xf>
    <xf numFmtId="0" fontId="4" fillId="2" borderId="11" pivotButton="0" quotePrefix="0" xfId="0"/>
    <xf numFmtId="0" fontId="4" fillId="2" borderId="13" pivotButton="0" quotePrefix="0" xfId="0"/>
    <xf numFmtId="0" fontId="14" fillId="2" borderId="7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22" fillId="3" borderId="0" applyAlignment="1" pivotButton="0" quotePrefix="0" xfId="0">
      <alignment horizontal="center"/>
    </xf>
    <xf numFmtId="0" fontId="4" fillId="3" borderId="0" applyAlignment="1" pivotButton="0" quotePrefix="0" xfId="0">
      <alignment vertical="bottom"/>
    </xf>
    <xf numFmtId="0" fontId="12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4" fillId="3" borderId="0" pivotButton="0" quotePrefix="0" xfId="0"/>
    <xf numFmtId="0" fontId="10" fillId="3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23" fillId="3" borderId="0" pivotButton="0" quotePrefix="0" xfId="0"/>
    <xf numFmtId="0" fontId="21" fillId="2" borderId="11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/>
    </xf>
    <xf numFmtId="0" fontId="4" fillId="2" borderId="11" applyAlignment="1" pivotButton="0" quotePrefix="0" xfId="0">
      <alignment vertical="center"/>
    </xf>
    <xf numFmtId="0" fontId="25" fillId="3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4" fillId="2" borderId="13" applyAlignment="1" pivotButton="0" quotePrefix="0" xfId="0">
      <alignment vertical="center"/>
    </xf>
    <xf numFmtId="0" fontId="17" fillId="3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16" fillId="3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4" fillId="2" borderId="11" applyAlignment="1" pivotButton="0" quotePrefix="0" xfId="0">
      <alignment vertical="center"/>
    </xf>
    <xf numFmtId="0" fontId="5" fillId="2" borderId="12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5" fontId="28" fillId="2" borderId="5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30" fillId="2" borderId="5" applyAlignment="1" pivotButton="0" quotePrefix="0" xfId="0">
      <alignment horizontal="center" vertical="center"/>
    </xf>
    <xf numFmtId="0" fontId="31" fillId="2" borderId="5" applyAlignment="1" pivotButton="0" quotePrefix="0" xfId="0">
      <alignment horizontal="center" vertical="center"/>
    </xf>
    <xf numFmtId="0" fontId="32" fillId="2" borderId="5" applyAlignment="1" pivotButton="0" quotePrefix="0" xfId="0">
      <alignment horizontal="center" vertical="center"/>
    </xf>
    <xf numFmtId="0" fontId="33" fillId="2" borderId="5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35" fillId="2" borderId="12" applyAlignment="1" pivotButton="0" quotePrefix="0" xfId="0">
      <alignment horizontal="center" vertical="center"/>
    </xf>
    <xf numFmtId="0" fontId="36" fillId="2" borderId="12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8" fillId="2" borderId="6" applyAlignment="1" pivotButton="0" quotePrefix="0" xfId="0">
      <alignment vertical="center"/>
    </xf>
    <xf numFmtId="0" fontId="39" fillId="2" borderId="7" applyAlignment="1" pivotButton="0" quotePrefix="0" xfId="0">
      <alignment horizontal="center" vertical="center"/>
    </xf>
    <xf numFmtId="0" fontId="38" fillId="2" borderId="8" applyAlignment="1" pivotButton="0" quotePrefix="0" xfId="0">
      <alignment vertical="center"/>
    </xf>
    <xf numFmtId="0" fontId="40" fillId="2" borderId="12" applyAlignment="1" pivotButton="0" quotePrefix="0" xfId="0">
      <alignment horizontal="center" vertical="center"/>
    </xf>
    <xf numFmtId="0" fontId="41" fillId="2" borderId="12" applyAlignment="1" pivotButton="0" quotePrefix="0" xfId="0">
      <alignment horizontal="center" vertical="center"/>
    </xf>
    <xf numFmtId="0" fontId="38" fillId="2" borderId="11" applyAlignment="1" pivotButton="0" quotePrefix="0" xfId="0">
      <alignment vertical="center"/>
    </xf>
    <xf numFmtId="0" fontId="10" fillId="2" borderId="7" applyAlignment="1" pivotButton="0" quotePrefix="0" xfId="0">
      <alignment horizontal="center" vertical="center"/>
    </xf>
    <xf numFmtId="0" fontId="31" fillId="2" borderId="7" applyAlignment="1" pivotButton="0" quotePrefix="0" xfId="0">
      <alignment horizontal="center" vertical="center"/>
    </xf>
    <xf numFmtId="0" fontId="13" fillId="2" borderId="14" applyAlignment="1" pivotButton="0" quotePrefix="0" xfId="0">
      <alignment horizontal="center"/>
    </xf>
    <xf numFmtId="0" fontId="11" fillId="2" borderId="14" applyAlignment="1" pivotButton="0" quotePrefix="0" xfId="0">
      <alignment horizontal="center"/>
    </xf>
    <xf numFmtId="0" fontId="16" fillId="2" borderId="7" applyAlignment="1" pivotButton="0" quotePrefix="0" xfId="0">
      <alignment horizontal="center"/>
    </xf>
    <xf numFmtId="0" fontId="14" fillId="2" borderId="14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42" fillId="2" borderId="7" applyAlignment="1" pivotButton="0" quotePrefix="0" xfId="0">
      <alignment horizontal="center"/>
    </xf>
    <xf numFmtId="0" fontId="42" fillId="2" borderId="7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24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43" fillId="2" borderId="0" pivotButton="0" quotePrefix="0" xfId="0"/>
    <xf numFmtId="0" fontId="26" fillId="2" borderId="0" pivotButton="0" quotePrefix="0" xfId="0"/>
    <xf numFmtId="0" fontId="44" fillId="0" borderId="0" pivotButton="0" quotePrefix="0" xfId="0"/>
    <xf numFmtId="0" fontId="0" fillId="0" borderId="0" pivotButton="0" quotePrefix="0" xfId="0"/>
    <xf numFmtId="0" fontId="2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5" fillId="2" borderId="18" applyAlignment="1" pivotButton="0" quotePrefix="0" xfId="0">
      <alignment horizontal="center"/>
    </xf>
    <xf numFmtId="0" fontId="0" fillId="0" borderId="6" pivotButton="0" quotePrefix="0" xfId="0"/>
    <xf numFmtId="164" fontId="5" fillId="2" borderId="21" applyAlignment="1" pivotButton="0" quotePrefix="0" xfId="0">
      <alignment horizontal="center"/>
    </xf>
    <xf numFmtId="0" fontId="0" fillId="0" borderId="8" pivotButton="0" quotePrefix="0" xfId="0"/>
    <xf numFmtId="0" fontId="1" fillId="2" borderId="15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2" borderId="21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165" fontId="28" fillId="2" borderId="18" applyAlignment="1" pivotButton="0" quotePrefix="0" xfId="0">
      <alignment horizontal="center" vertical="center"/>
    </xf>
  </cellXfs>
  <cellStyles count="1">
    <cellStyle name="Normal" xfId="0" builtinId="0"/>
  </cellStyles>
  <dxfs count="9">
    <dxf>
      <font>
        <color rgb="FFEA9999"/>
      </font>
      <fill>
        <patternFill patternType="solid">
          <fgColor rgb="FF434343"/>
          <bgColor rgb="FF434343"/>
        </patternFill>
      </fill>
      <border/>
    </dxf>
    <dxf>
      <font>
        <color rgb="FFD5A6BD"/>
      </font>
      <fill>
        <patternFill patternType="solid">
          <fgColor rgb="FF434343"/>
          <bgColor rgb="FF434343"/>
        </patternFill>
      </fill>
      <border/>
    </dxf>
    <dxf>
      <font>
        <color rgb="FF00FF00"/>
      </font>
      <fill>
        <patternFill patternType="solid">
          <fgColor rgb="FF434343"/>
          <bgColor rgb="FF434343"/>
        </patternFill>
      </fill>
      <border/>
    </dxf>
    <dxf>
      <font>
        <color rgb="FF4A86E8"/>
      </font>
      <fill>
        <patternFill patternType="solid">
          <fgColor rgb="FF434343"/>
          <bgColor rgb="FF434343"/>
        </patternFill>
      </fill>
      <border/>
    </dxf>
    <dxf>
      <font>
        <color rgb="FFFFFF00"/>
      </font>
      <fill>
        <patternFill patternType="solid">
          <fgColor rgb="FF434343"/>
          <bgColor rgb="FF434343"/>
        </patternFill>
      </fill>
      <border/>
    </dxf>
    <dxf>
      <font>
        <color rgb="FF00FFFF"/>
      </font>
      <fill>
        <patternFill patternType="solid">
          <fgColor rgb="FF434343"/>
          <bgColor rgb="FF434343"/>
        </patternFill>
      </fill>
      <border/>
    </dxf>
    <dxf>
      <font>
        <color rgb="FFFF00FF"/>
      </font>
      <fill>
        <patternFill patternType="solid">
          <fgColor rgb="FF434343"/>
          <bgColor rgb="FF434343"/>
        </patternFill>
      </fill>
      <border/>
    </dxf>
    <dxf>
      <font>
        <color rgb="FF93C47D"/>
      </font>
      <fill>
        <patternFill patternType="solid">
          <fgColor rgb="FF434343"/>
          <bgColor rgb="FF434343"/>
        </patternFill>
      </fill>
      <border/>
    </dxf>
    <dxf>
      <font>
        <color rgb="FFF6B26B"/>
      </font>
      <fill>
        <patternFill patternType="solid">
          <fgColor rgb="FF434343"/>
          <bgColor rgb="FF43434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24"/>
  <sheetViews>
    <sheetView workbookViewId="0">
      <selection activeCell="A1" sqref="A1"/>
    </sheetView>
  </sheetViews>
  <sheetFormatPr baseColWidth="8" defaultColWidth="12.63" defaultRowHeight="15.75" customHeight="1"/>
  <cols>
    <col width="6.38" customWidth="1" style="141" min="16" max="16"/>
  </cols>
  <sheetData>
    <row r="1">
      <c r="A1" s="142" t="inlineStr">
        <is>
          <t>Joyce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4" t="n"/>
      <c r="P1" s="6" t="n"/>
      <c r="Q1" s="6" t="n"/>
      <c r="R1" s="6" t="n"/>
      <c r="S1" s="6" t="n"/>
      <c r="T1" s="6" t="n"/>
      <c r="U1" s="6" t="n"/>
    </row>
    <row r="2">
      <c r="A2" s="8" t="inlineStr">
        <is>
          <t>Dia</t>
        </is>
      </c>
      <c r="B2" s="145" t="n">
        <v>46153</v>
      </c>
      <c r="C2" s="146" t="n"/>
      <c r="D2" s="145" t="n">
        <v>46154</v>
      </c>
      <c r="E2" s="146" t="n"/>
      <c r="F2" s="145" t="n">
        <v>46155</v>
      </c>
      <c r="G2" s="146" t="n"/>
      <c r="H2" s="145" t="n">
        <v>46156</v>
      </c>
      <c r="I2" s="146" t="n"/>
      <c r="J2" s="145" t="n">
        <v>46157</v>
      </c>
      <c r="K2" s="146" t="n"/>
      <c r="L2" s="145" t="n">
        <v>46158</v>
      </c>
      <c r="M2" s="146" t="n"/>
      <c r="N2" s="147" t="n">
        <v>46159</v>
      </c>
      <c r="O2" s="148" t="n"/>
      <c r="P2" s="6" t="n"/>
      <c r="Q2" s="6" t="n"/>
      <c r="R2" s="6" t="n"/>
      <c r="S2" s="6" t="n"/>
      <c r="T2" s="6" t="n"/>
      <c r="U2" s="6" t="n"/>
    </row>
    <row r="3">
      <c r="A3" s="8" t="inlineStr">
        <is>
          <t>Cargo</t>
        </is>
      </c>
      <c r="B3" s="16" t="inlineStr">
        <is>
          <t>Promotor</t>
        </is>
      </c>
      <c r="C3" s="17" t="inlineStr">
        <is>
          <t>Assistant</t>
        </is>
      </c>
      <c r="D3" s="16" t="inlineStr">
        <is>
          <t>Promotor</t>
        </is>
      </c>
      <c r="E3" s="17" t="inlineStr">
        <is>
          <t>Assistant</t>
        </is>
      </c>
      <c r="F3" s="16" t="inlineStr">
        <is>
          <t>Promotor</t>
        </is>
      </c>
      <c r="G3" s="17" t="inlineStr">
        <is>
          <t>Assistant</t>
        </is>
      </c>
      <c r="H3" s="16" t="inlineStr">
        <is>
          <t>Promotor</t>
        </is>
      </c>
      <c r="I3" s="17" t="inlineStr">
        <is>
          <t>Assistant</t>
        </is>
      </c>
      <c r="J3" s="16" t="inlineStr">
        <is>
          <t>Promotor</t>
        </is>
      </c>
      <c r="K3" s="20" t="inlineStr">
        <is>
          <t>Assistant</t>
        </is>
      </c>
      <c r="L3" s="16" t="inlineStr">
        <is>
          <t>Promotor</t>
        </is>
      </c>
      <c r="M3" s="20" t="inlineStr">
        <is>
          <t>Assistant</t>
        </is>
      </c>
      <c r="N3" s="16" t="inlineStr">
        <is>
          <t>Promotor</t>
        </is>
      </c>
      <c r="O3" s="21" t="inlineStr">
        <is>
          <t>Assistant</t>
        </is>
      </c>
      <c r="P3" s="6" t="n"/>
      <c r="Q3" s="6" t="n"/>
      <c r="R3" s="6" t="n"/>
      <c r="S3" s="6" t="n"/>
      <c r="T3" s="6" t="n"/>
      <c r="U3" s="6" t="n"/>
    </row>
    <row r="4">
      <c r="A4" s="8" t="inlineStr">
        <is>
          <t>T2/T3</t>
        </is>
      </c>
      <c r="B4" s="23" t="inlineStr">
        <is>
          <t>Iris</t>
        </is>
      </c>
      <c r="C4" s="25" t="n"/>
      <c r="D4" s="27" t="inlineStr">
        <is>
          <t>Carol</t>
        </is>
      </c>
      <c r="E4" s="25" t="n"/>
      <c r="F4" s="27" t="inlineStr">
        <is>
          <t>Carol</t>
        </is>
      </c>
      <c r="G4" s="25" t="inlineStr">
        <is>
          <t>Leo</t>
        </is>
      </c>
      <c r="H4" s="27" t="inlineStr">
        <is>
          <t>Carol</t>
        </is>
      </c>
      <c r="I4" s="29" t="n"/>
      <c r="J4" s="23" t="inlineStr">
        <is>
          <t>Iris</t>
        </is>
      </c>
      <c r="K4" s="25" t="n"/>
      <c r="L4" s="27" t="inlineStr">
        <is>
          <t>Carol</t>
        </is>
      </c>
      <c r="M4" s="32" t="n"/>
      <c r="N4" s="27" t="inlineStr">
        <is>
          <t>Carol</t>
        </is>
      </c>
      <c r="O4" s="34" t="n"/>
      <c r="P4" s="6" t="n"/>
      <c r="Q4" s="6" t="n"/>
      <c r="R4" s="7" t="inlineStr">
        <is>
          <t>Turnos</t>
        </is>
      </c>
      <c r="S4" s="7" t="inlineStr">
        <is>
          <t>Solo</t>
        </is>
      </c>
      <c r="T4" s="7" t="inlineStr">
        <is>
          <t>Assistant</t>
        </is>
      </c>
      <c r="U4" s="6" t="n"/>
    </row>
    <row r="5">
      <c r="A5" s="8" t="inlineStr">
        <is>
          <t>T4/T5</t>
        </is>
      </c>
      <c r="B5" s="36" t="inlineStr">
        <is>
          <t>Storini</t>
        </is>
      </c>
      <c r="C5" s="37" t="n"/>
      <c r="D5" s="36" t="inlineStr">
        <is>
          <t>Storini</t>
        </is>
      </c>
      <c r="E5" s="40" t="n"/>
      <c r="F5" s="36" t="inlineStr">
        <is>
          <t>Storini</t>
        </is>
      </c>
      <c r="G5" s="43" t="n"/>
      <c r="H5" s="46" t="inlineStr">
        <is>
          <t>Ignacio</t>
        </is>
      </c>
      <c r="I5" s="43" t="n"/>
      <c r="J5" s="36" t="inlineStr">
        <is>
          <t>Storini</t>
        </is>
      </c>
      <c r="K5" s="48" t="inlineStr">
        <is>
          <t>De Lucca</t>
        </is>
      </c>
      <c r="L5" s="46" t="inlineStr">
        <is>
          <t>Ignacio</t>
        </is>
      </c>
      <c r="M5" s="46" t="n"/>
      <c r="N5" s="36" t="inlineStr">
        <is>
          <t>Storini</t>
        </is>
      </c>
      <c r="O5" s="51" t="n"/>
      <c r="P5" s="6" t="n"/>
      <c r="Q5" s="47" t="inlineStr">
        <is>
          <t>Carol</t>
        </is>
      </c>
      <c r="R5" s="13" t="n">
        <v>5</v>
      </c>
      <c r="S5" s="13" t="n">
        <v>5</v>
      </c>
      <c r="T5" s="13" t="n"/>
      <c r="U5" s="6" t="n"/>
    </row>
    <row r="6">
      <c r="A6" s="53" t="inlineStr">
        <is>
          <t>T6/T1</t>
        </is>
      </c>
      <c r="B6" s="48" t="inlineStr">
        <is>
          <t>De Lucca</t>
        </is>
      </c>
      <c r="C6" s="54" t="n"/>
      <c r="D6" s="55" t="inlineStr">
        <is>
          <t>Georgia</t>
        </is>
      </c>
      <c r="E6" s="55" t="n"/>
      <c r="F6" s="56" t="inlineStr">
        <is>
          <t>Pedro</t>
        </is>
      </c>
      <c r="G6" s="55" t="inlineStr">
        <is>
          <t>Georgia</t>
        </is>
      </c>
      <c r="H6" s="57" t="inlineStr">
        <is>
          <t>Natasha</t>
        </is>
      </c>
      <c r="I6" s="58" t="n"/>
      <c r="J6" s="55" t="inlineStr">
        <is>
          <t>Georgia</t>
        </is>
      </c>
      <c r="K6" s="58" t="n"/>
      <c r="L6" s="55" t="inlineStr">
        <is>
          <t>Georgia</t>
        </is>
      </c>
      <c r="M6" s="55" t="n"/>
      <c r="N6" s="57" t="inlineStr">
        <is>
          <t>Natasha</t>
        </is>
      </c>
      <c r="O6" s="59" t="n"/>
      <c r="P6" s="6" t="n"/>
      <c r="Q6" s="60" t="inlineStr">
        <is>
          <t>Iris</t>
        </is>
      </c>
      <c r="R6" s="13" t="n">
        <v>5</v>
      </c>
      <c r="S6" s="13" t="n">
        <v>5</v>
      </c>
      <c r="T6" s="13" t="n"/>
      <c r="U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4" t="inlineStr">
        <is>
          <t>Leo</t>
        </is>
      </c>
      <c r="R7" s="13" t="n">
        <v>5</v>
      </c>
      <c r="S7" s="13" t="n">
        <v>4</v>
      </c>
      <c r="T7" s="13" t="n">
        <v>1</v>
      </c>
      <c r="U7" s="6" t="n"/>
    </row>
    <row r="8">
      <c r="A8" s="142" t="inlineStr">
        <is>
          <t>Avery Skye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4" t="n"/>
      <c r="P8" s="6" t="n"/>
      <c r="Q8" s="68" t="inlineStr">
        <is>
          <t>Storini</t>
        </is>
      </c>
      <c r="R8" s="13" t="n">
        <v>6</v>
      </c>
      <c r="S8" s="13" t="n">
        <v>6</v>
      </c>
      <c r="T8" s="13" t="n"/>
      <c r="U8" s="6" t="n"/>
    </row>
    <row r="9">
      <c r="A9" s="8" t="inlineStr">
        <is>
          <t>Dia</t>
        </is>
      </c>
      <c r="B9" s="145">
        <f>B$2</f>
        <v/>
      </c>
      <c r="C9" s="146" t="n"/>
      <c r="D9" s="145">
        <f>D$2</f>
        <v/>
      </c>
      <c r="E9" s="146" t="n"/>
      <c r="F9" s="145">
        <f>F$2</f>
        <v/>
      </c>
      <c r="G9" s="146" t="n"/>
      <c r="H9" s="145">
        <f>H$2</f>
        <v/>
      </c>
      <c r="I9" s="146" t="n"/>
      <c r="J9" s="145">
        <f>J$2</f>
        <v/>
      </c>
      <c r="K9" s="146" t="n"/>
      <c r="L9" s="145">
        <f>L$2</f>
        <v/>
      </c>
      <c r="M9" s="146" t="n"/>
      <c r="N9" s="147">
        <f>N$2</f>
        <v/>
      </c>
      <c r="O9" s="148" t="n"/>
      <c r="P9" s="6" t="n"/>
      <c r="Q9" s="71" t="inlineStr">
        <is>
          <t>Ignacio</t>
        </is>
      </c>
      <c r="R9" s="13" t="n">
        <v>5</v>
      </c>
      <c r="S9" s="13" t="n">
        <v>5</v>
      </c>
      <c r="T9" s="13" t="n"/>
      <c r="U9" s="6" t="n"/>
    </row>
    <row r="10">
      <c r="A10" s="8" t="inlineStr">
        <is>
          <t>Cargo</t>
        </is>
      </c>
      <c r="B10" s="16" t="inlineStr">
        <is>
          <t>Promotor</t>
        </is>
      </c>
      <c r="C10" s="17" t="inlineStr">
        <is>
          <t>Assistant</t>
        </is>
      </c>
      <c r="D10" s="16" t="inlineStr">
        <is>
          <t>Promotor</t>
        </is>
      </c>
      <c r="E10" s="17" t="inlineStr">
        <is>
          <t>Assistant</t>
        </is>
      </c>
      <c r="F10" s="16" t="inlineStr">
        <is>
          <t>Promotor</t>
        </is>
      </c>
      <c r="G10" s="17" t="inlineStr">
        <is>
          <t>Assistant</t>
        </is>
      </c>
      <c r="H10" s="16" t="inlineStr">
        <is>
          <t>Promotor</t>
        </is>
      </c>
      <c r="I10" s="17" t="inlineStr">
        <is>
          <t>Assistant</t>
        </is>
      </c>
      <c r="J10" s="16" t="inlineStr">
        <is>
          <t>Promotor</t>
        </is>
      </c>
      <c r="K10" s="17" t="inlineStr">
        <is>
          <t>Assistant</t>
        </is>
      </c>
      <c r="L10" s="16" t="inlineStr">
        <is>
          <t>Promotor</t>
        </is>
      </c>
      <c r="M10" s="17" t="inlineStr">
        <is>
          <t>Assistant</t>
        </is>
      </c>
      <c r="N10" s="16" t="inlineStr">
        <is>
          <t>Promotor</t>
        </is>
      </c>
      <c r="O10" s="21" t="inlineStr">
        <is>
          <t>Assistant</t>
        </is>
      </c>
      <c r="P10" s="6" t="n"/>
      <c r="Q10" s="74" t="inlineStr">
        <is>
          <t>De Lucca</t>
        </is>
      </c>
      <c r="R10" s="13" t="n">
        <v>5</v>
      </c>
      <c r="S10" s="13" t="n">
        <v>4</v>
      </c>
      <c r="T10" s="13" t="n">
        <v>1</v>
      </c>
      <c r="U10" s="6" t="n"/>
    </row>
    <row r="11">
      <c r="A11" s="8" t="inlineStr">
        <is>
          <t>T2/T3</t>
        </is>
      </c>
      <c r="B11" s="25" t="inlineStr">
        <is>
          <t>Leo</t>
        </is>
      </c>
      <c r="C11" s="43" t="n"/>
      <c r="D11" s="23" t="inlineStr">
        <is>
          <t>Iris</t>
        </is>
      </c>
      <c r="E11" s="43" t="n"/>
      <c r="F11" s="23" t="inlineStr">
        <is>
          <t>Iris</t>
        </is>
      </c>
      <c r="G11" s="43" t="n"/>
      <c r="H11" s="25" t="inlineStr">
        <is>
          <t>Leo</t>
        </is>
      </c>
      <c r="I11" s="43" t="n"/>
      <c r="J11" s="25" t="inlineStr">
        <is>
          <t>Leo</t>
        </is>
      </c>
      <c r="K11" s="43" t="n"/>
      <c r="L11" s="23" t="inlineStr">
        <is>
          <t>Iris</t>
        </is>
      </c>
      <c r="M11" s="43" t="n"/>
      <c r="N11" s="25" t="inlineStr">
        <is>
          <t>Leo</t>
        </is>
      </c>
      <c r="O11" s="34" t="n"/>
      <c r="P11" s="6" t="n"/>
      <c r="Q11" s="75" t="inlineStr">
        <is>
          <t>Natasha</t>
        </is>
      </c>
      <c r="R11" s="13" t="n">
        <v>5</v>
      </c>
      <c r="S11" s="13" t="n">
        <v>5</v>
      </c>
      <c r="T11" s="13" t="n"/>
      <c r="U11" s="6" t="n"/>
    </row>
    <row r="12">
      <c r="A12" s="8" t="inlineStr">
        <is>
          <t>T4/T5</t>
        </is>
      </c>
      <c r="B12" s="46" t="inlineStr">
        <is>
          <t>Ignacio</t>
        </is>
      </c>
      <c r="C12" s="43" t="n"/>
      <c r="D12" s="46" t="inlineStr">
        <is>
          <t>Ignacio</t>
        </is>
      </c>
      <c r="E12" s="43" t="n"/>
      <c r="F12" s="48" t="inlineStr">
        <is>
          <t>De Lucca</t>
        </is>
      </c>
      <c r="G12" s="43" t="n"/>
      <c r="H12" s="48" t="inlineStr">
        <is>
          <t>De Lucca</t>
        </is>
      </c>
      <c r="I12" s="43" t="n"/>
      <c r="J12" s="46" t="inlineStr">
        <is>
          <t>Ignacio</t>
        </is>
      </c>
      <c r="K12" s="43" t="n"/>
      <c r="L12" s="36" t="inlineStr">
        <is>
          <t>Storini</t>
        </is>
      </c>
      <c r="M12" s="43" t="n"/>
      <c r="N12" s="48" t="inlineStr">
        <is>
          <t>De Lucca</t>
        </is>
      </c>
      <c r="O12" s="34" t="n"/>
      <c r="P12" s="76" t="n"/>
      <c r="Q12" s="15" t="inlineStr">
        <is>
          <t>Pedro</t>
        </is>
      </c>
      <c r="R12" s="13" t="n">
        <v>4</v>
      </c>
      <c r="S12" s="13" t="n">
        <v>4</v>
      </c>
      <c r="T12" s="13" t="n"/>
      <c r="U12" s="76" t="n"/>
    </row>
    <row r="13">
      <c r="A13" s="53" t="inlineStr">
        <is>
          <t>T6/T1</t>
        </is>
      </c>
      <c r="B13" s="56" t="inlineStr">
        <is>
          <t>Pedro</t>
        </is>
      </c>
      <c r="C13" s="77" t="n"/>
      <c r="D13" s="57" t="inlineStr">
        <is>
          <t>Natasha</t>
        </is>
      </c>
      <c r="E13" s="78" t="n"/>
      <c r="F13" s="57" t="inlineStr">
        <is>
          <t>Natasha</t>
        </is>
      </c>
      <c r="G13" s="78" t="n"/>
      <c r="H13" s="56" t="inlineStr">
        <is>
          <t>Pedro</t>
        </is>
      </c>
      <c r="I13" s="78" t="n"/>
      <c r="J13" s="56" t="inlineStr">
        <is>
          <t>Pedro</t>
        </is>
      </c>
      <c r="K13" s="78" t="n"/>
      <c r="L13" s="57" t="inlineStr">
        <is>
          <t>Natasha</t>
        </is>
      </c>
      <c r="M13" s="78" t="n"/>
      <c r="N13" s="55" t="inlineStr">
        <is>
          <t>Georgia</t>
        </is>
      </c>
      <c r="O13" s="79" t="n"/>
      <c r="P13" s="6" t="n"/>
      <c r="Q13" s="80" t="inlineStr">
        <is>
          <t>Georgia</t>
        </is>
      </c>
      <c r="R13" s="13" t="n">
        <v>5</v>
      </c>
      <c r="S13" s="13" t="n">
        <v>4</v>
      </c>
      <c r="T13" s="13" t="n">
        <v>1</v>
      </c>
      <c r="U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81" t="n"/>
      <c r="R14" s="82" t="n"/>
      <c r="S14" s="6" t="n"/>
      <c r="T14" s="6" t="n"/>
      <c r="U14" s="6" t="n"/>
    </row>
    <row r="15">
      <c r="A15" s="83" t="n"/>
      <c r="P15" s="84" t="n"/>
      <c r="Q15" s="85" t="n"/>
      <c r="R15" s="86" t="n"/>
      <c r="S15" s="84" t="n"/>
      <c r="T15" s="84" t="n"/>
      <c r="U15" s="84" t="n"/>
    </row>
    <row r="16">
      <c r="A16" s="86" t="n"/>
      <c r="B16" s="87" t="n"/>
      <c r="D16" s="87" t="n"/>
      <c r="F16" s="87" t="n"/>
      <c r="H16" s="87" t="n"/>
      <c r="J16" s="87" t="n"/>
      <c r="L16" s="87" t="n"/>
      <c r="N16" s="87" t="n"/>
      <c r="P16" s="84" t="n"/>
      <c r="Q16" s="86" t="n"/>
      <c r="R16" s="86" t="n"/>
      <c r="S16" s="84" t="n"/>
      <c r="T16" s="84" t="n"/>
      <c r="U16" s="84" t="n"/>
    </row>
    <row r="17">
      <c r="A17" s="86" t="n"/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  <c r="N17" s="86" t="n"/>
      <c r="O17" s="86" t="n"/>
      <c r="P17" s="84" t="n"/>
      <c r="Q17" s="88" t="n"/>
      <c r="R17" s="86" t="n"/>
      <c r="S17" s="84" t="n"/>
      <c r="T17" s="84" t="n"/>
      <c r="U17" s="84" t="n"/>
    </row>
    <row r="18">
      <c r="A18" s="86" t="n"/>
      <c r="B18" s="85" t="n"/>
      <c r="C18" s="89" t="n"/>
      <c r="D18" s="85" t="n"/>
      <c r="E18" s="89" t="n"/>
      <c r="F18" s="90" t="n"/>
      <c r="G18" s="89" t="n"/>
      <c r="H18" s="91" t="n"/>
      <c r="I18" s="89" t="n"/>
      <c r="J18" s="85" t="n"/>
      <c r="K18" s="89" t="n"/>
      <c r="L18" s="90" t="n"/>
      <c r="M18" s="92" t="n"/>
      <c r="N18" s="90" t="n"/>
      <c r="O18" s="89" t="n"/>
      <c r="P18" s="84" t="n"/>
      <c r="Q18" s="94" t="n"/>
      <c r="R18" s="86" t="n"/>
      <c r="S18" s="84" t="n"/>
      <c r="T18" s="84" t="n"/>
      <c r="U18" s="84" t="n"/>
    </row>
    <row r="19">
      <c r="A19" s="86" t="n"/>
      <c r="B19" s="88" t="n"/>
      <c r="C19" s="89" t="n"/>
      <c r="D19" s="86" t="n"/>
      <c r="E19" s="89" t="n"/>
      <c r="F19" s="88" t="n"/>
      <c r="G19" s="89" t="n"/>
      <c r="I19" s="89" t="n"/>
      <c r="J19" s="88" t="n"/>
      <c r="K19" s="89" t="n"/>
      <c r="L19" s="91" t="n"/>
      <c r="M19" s="89" t="n"/>
      <c r="N19" s="88" t="n"/>
      <c r="O19" s="89" t="n"/>
      <c r="P19" s="84" t="n"/>
      <c r="Q19" s="96" t="n"/>
      <c r="R19" s="86" t="n"/>
      <c r="S19" s="84" t="n"/>
      <c r="T19" s="84" t="n"/>
      <c r="U19" s="84" t="n"/>
    </row>
    <row r="20">
      <c r="A20" s="86" t="n"/>
      <c r="B20" s="97" t="n"/>
      <c r="C20" s="89" t="n"/>
      <c r="D20" s="97" t="n"/>
      <c r="E20" s="89" t="n"/>
      <c r="F20" s="99" t="n"/>
      <c r="G20" s="89" t="n"/>
      <c r="H20" s="99" t="n"/>
      <c r="I20" s="89" t="n"/>
      <c r="J20" s="99" t="n"/>
      <c r="K20" s="89" t="n"/>
      <c r="L20" s="100" t="n"/>
      <c r="M20" s="89" t="n"/>
      <c r="N20" s="100" t="n"/>
      <c r="O20" s="89" t="n"/>
      <c r="P20" s="84" t="n"/>
      <c r="Q20" s="101" t="n"/>
      <c r="R20" s="86" t="n"/>
      <c r="S20" s="84" t="n"/>
      <c r="T20" s="84" t="n"/>
      <c r="U20" s="84" t="n"/>
    </row>
    <row r="22">
      <c r="Q22" s="102" t="n"/>
    </row>
    <row r="24">
      <c r="R24" s="103" t="n"/>
    </row>
  </sheetData>
  <mergeCells count="24">
    <mergeCell ref="L2:M2"/>
    <mergeCell ref="B16:C16"/>
    <mergeCell ref="F16:G16"/>
    <mergeCell ref="L16:M16"/>
    <mergeCell ref="N16:O16"/>
    <mergeCell ref="H9:I9"/>
    <mergeCell ref="J9:K9"/>
    <mergeCell ref="B2:C2"/>
    <mergeCell ref="D2:E2"/>
    <mergeCell ref="N2:O2"/>
    <mergeCell ref="A8:O8"/>
    <mergeCell ref="F2:G2"/>
    <mergeCell ref="D16:E16"/>
    <mergeCell ref="H2:I2"/>
    <mergeCell ref="H16:I16"/>
    <mergeCell ref="J16:K16"/>
    <mergeCell ref="B9:C9"/>
    <mergeCell ref="D9:E9"/>
    <mergeCell ref="F9:G9"/>
    <mergeCell ref="L9:M9"/>
    <mergeCell ref="N9:O9"/>
    <mergeCell ref="A15:O15"/>
    <mergeCell ref="J2:K2"/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24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27" customHeight="1" s="141">
      <c r="A1" s="149" t="inlineStr">
        <is>
          <t>Issy Black / Joyce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4" t="n"/>
      <c r="P1" s="6" t="n"/>
      <c r="Q1" s="6" t="n"/>
      <c r="R1" s="6" t="n"/>
      <c r="S1" s="6" t="n"/>
      <c r="T1" s="6" t="n"/>
      <c r="U1" s="6" t="n"/>
      <c r="V1" s="6" t="n"/>
    </row>
    <row r="2" ht="22.5" customHeight="1" s="141">
      <c r="A2" s="9" t="inlineStr">
        <is>
          <t>Dia</t>
        </is>
      </c>
      <c r="B2" s="150" t="n">
        <v>46160</v>
      </c>
      <c r="C2" s="146" t="n"/>
      <c r="D2" s="150" t="n">
        <v>46161</v>
      </c>
      <c r="E2" s="146" t="n"/>
      <c r="F2" s="150" t="n">
        <v>46162</v>
      </c>
      <c r="G2" s="146" t="n"/>
      <c r="H2" s="150" t="n">
        <v>46163</v>
      </c>
      <c r="I2" s="146" t="n"/>
      <c r="J2" s="150" t="n">
        <v>46164</v>
      </c>
      <c r="K2" s="146" t="n"/>
      <c r="L2" s="150" t="n">
        <v>46165</v>
      </c>
      <c r="M2" s="146" t="n"/>
      <c r="N2" s="151" t="n">
        <v>46166</v>
      </c>
      <c r="O2" s="148" t="n"/>
      <c r="P2" s="6" t="n"/>
      <c r="Q2" s="6" t="n"/>
      <c r="R2" s="6" t="n"/>
      <c r="S2" s="6" t="n"/>
      <c r="T2" s="6" t="n"/>
      <c r="U2" s="6" t="n"/>
      <c r="V2" s="6" t="n"/>
    </row>
    <row r="3" ht="22.5" customHeight="1" s="141">
      <c r="A3" s="9" t="inlineStr">
        <is>
          <t>Cargo</t>
        </is>
      </c>
      <c r="B3" s="33" t="inlineStr">
        <is>
          <t>Promotor</t>
        </is>
      </c>
      <c r="C3" s="19" t="inlineStr">
        <is>
          <t>Assistant</t>
        </is>
      </c>
      <c r="D3" s="33" t="inlineStr">
        <is>
          <t>Promotor</t>
        </is>
      </c>
      <c r="E3" s="19" t="inlineStr">
        <is>
          <t>Assistant</t>
        </is>
      </c>
      <c r="F3" s="33" t="inlineStr">
        <is>
          <t>Promotor</t>
        </is>
      </c>
      <c r="G3" s="19" t="inlineStr">
        <is>
          <t>Assistant</t>
        </is>
      </c>
      <c r="H3" s="33" t="inlineStr">
        <is>
          <t>Promotor</t>
        </is>
      </c>
      <c r="I3" s="19" t="inlineStr">
        <is>
          <t>Assistant</t>
        </is>
      </c>
      <c r="J3" s="33" t="inlineStr">
        <is>
          <t>Promotor</t>
        </is>
      </c>
      <c r="K3" s="19" t="inlineStr">
        <is>
          <t>Assistant</t>
        </is>
      </c>
      <c r="L3" s="33" t="inlineStr">
        <is>
          <t>Promotor</t>
        </is>
      </c>
      <c r="M3" s="19" t="inlineStr">
        <is>
          <t>Assistant</t>
        </is>
      </c>
      <c r="N3" s="33" t="inlineStr">
        <is>
          <t>Promotor</t>
        </is>
      </c>
      <c r="O3" s="22" t="inlineStr">
        <is>
          <t>Assistant</t>
        </is>
      </c>
      <c r="P3" s="6" t="n"/>
      <c r="Q3" s="6" t="n"/>
      <c r="R3" s="6" t="n"/>
      <c r="S3" s="6" t="n"/>
      <c r="T3" s="6" t="n"/>
      <c r="U3" s="6" t="n"/>
      <c r="V3" s="6" t="n"/>
    </row>
    <row r="4" ht="22.5" customHeight="1" s="141">
      <c r="A4" s="9" t="inlineStr">
        <is>
          <t>T2/T3</t>
        </is>
      </c>
      <c r="B4" s="24" t="inlineStr">
        <is>
          <t>Carolinne Pacheco</t>
        </is>
      </c>
      <c r="C4" s="26" t="inlineStr">
        <is>
          <t>Léo Grimaldi</t>
        </is>
      </c>
      <c r="D4" s="28" t="inlineStr">
        <is>
          <t>Iris Moreira</t>
        </is>
      </c>
      <c r="E4" s="26" t="n"/>
      <c r="F4" s="24" t="inlineStr">
        <is>
          <t>Carolinne Pacheco</t>
        </is>
      </c>
      <c r="G4" s="26" t="n"/>
      <c r="H4" s="24" t="inlineStr">
        <is>
          <t>Carolinne Pacheco</t>
        </is>
      </c>
      <c r="I4" s="30" t="n"/>
      <c r="J4" s="24" t="inlineStr">
        <is>
          <t>Carolinne Pacheco</t>
        </is>
      </c>
      <c r="K4" s="26" t="inlineStr">
        <is>
          <t>Léo Grimaldi</t>
        </is>
      </c>
      <c r="L4" s="28" t="inlineStr">
        <is>
          <t>Iris Moreira</t>
        </is>
      </c>
      <c r="M4" s="31" t="n"/>
      <c r="N4" s="24" t="inlineStr">
        <is>
          <t>Carolinne Pacheco</t>
        </is>
      </c>
      <c r="O4" s="35" t="n"/>
      <c r="P4" s="6" t="n"/>
      <c r="Q4" s="13" t="inlineStr">
        <is>
          <t>Promotor</t>
        </is>
      </c>
      <c r="R4" s="13" t="inlineStr">
        <is>
          <t>Cargo</t>
        </is>
      </c>
      <c r="S4" s="13" t="inlineStr">
        <is>
          <t>Turnos</t>
        </is>
      </c>
      <c r="T4" s="13" t="inlineStr">
        <is>
          <t>Solo</t>
        </is>
      </c>
      <c r="U4" s="13" t="inlineStr">
        <is>
          <t>Assistant</t>
        </is>
      </c>
      <c r="V4" s="6" t="n"/>
    </row>
    <row r="5" ht="22.5" customHeight="1" s="141">
      <c r="A5" s="9" t="inlineStr">
        <is>
          <t>T4/T5</t>
        </is>
      </c>
      <c r="B5" s="42" t="inlineStr">
        <is>
          <t>Ignacio Canelo</t>
        </is>
      </c>
      <c r="C5" s="41" t="n"/>
      <c r="D5" s="39" t="inlineStr">
        <is>
          <t>Gabriela Storini</t>
        </is>
      </c>
      <c r="E5" s="44" t="inlineStr">
        <is>
          <t>Carlos de Lucca</t>
        </is>
      </c>
      <c r="F5" s="39" t="inlineStr">
        <is>
          <t>Gabriela Storini</t>
        </is>
      </c>
      <c r="G5" s="44" t="n"/>
      <c r="H5" s="39" t="inlineStr">
        <is>
          <t>Gabriela Storini</t>
        </is>
      </c>
      <c r="I5" s="45" t="n"/>
      <c r="J5" s="42" t="inlineStr">
        <is>
          <t>Ignacio Canelo</t>
        </is>
      </c>
      <c r="K5" s="44" t="n"/>
      <c r="L5" s="39" t="inlineStr">
        <is>
          <t>Gabriela Storini</t>
        </is>
      </c>
      <c r="M5" s="44" t="inlineStr">
        <is>
          <t>Carlos de Lucca</t>
        </is>
      </c>
      <c r="N5" s="39" t="inlineStr">
        <is>
          <t>Gabriela Storini</t>
        </is>
      </c>
      <c r="O5" s="50" t="n"/>
      <c r="P5" s="6" t="n"/>
      <c r="Q5" s="47" t="inlineStr">
        <is>
          <t>Carolinne Pacheco</t>
        </is>
      </c>
      <c r="R5" s="49" t="inlineStr">
        <is>
          <t>Secundus | T2/T3</t>
        </is>
      </c>
      <c r="S5" s="52">
        <f>COUNTIF($B$4:$O$13,Q5)</f>
        <v/>
      </c>
      <c r="T5" s="52">
        <f>COUNTIF(B:B,Q5)+COUNTIF(D:D,Q5)+COUNTIF(F:F,Q5)+COUNTIF(H:H,Q5)+COUNTIF(J:J,Q5)+COUNTIF(L:L,Q5)+COUNTIF(N:N,Q5)</f>
        <v/>
      </c>
      <c r="U5" s="52">
        <f>COUNTIF(C:C,Q5)+COUNTIF(E:E,Q5)+COUNTIF(G:G,Q5)+COUNTIF(I:I,Q5)+COUNTIF(K:K,Q5)+COUNTIF(M:M,Q5)+COUNTIF(O:O,Q5)</f>
        <v/>
      </c>
      <c r="V5" s="6" t="n"/>
    </row>
    <row r="6" ht="22.5" customHeight="1" s="141">
      <c r="A6" s="61" t="inlineStr">
        <is>
          <t>T6/T1</t>
        </is>
      </c>
      <c r="B6" s="65" t="inlineStr">
        <is>
          <t>Pedro Ribeiro</t>
        </is>
      </c>
      <c r="C6" s="63" t="n"/>
      <c r="D6" s="65" t="inlineStr">
        <is>
          <t>Pedro Ribeiro</t>
        </is>
      </c>
      <c r="E6" s="66" t="n"/>
      <c r="F6" s="65" t="inlineStr">
        <is>
          <t>Pedro Ribeiro</t>
        </is>
      </c>
      <c r="G6" s="66" t="inlineStr">
        <is>
          <t>Georgia Rosa M.</t>
        </is>
      </c>
      <c r="H6" s="62" t="inlineStr">
        <is>
          <t>Natasha Tem Tem</t>
        </is>
      </c>
      <c r="I6" s="67" t="n"/>
      <c r="J6" s="65" t="inlineStr">
        <is>
          <t>Pedro Ribeiro</t>
        </is>
      </c>
      <c r="K6" s="67" t="n"/>
      <c r="L6" s="65" t="inlineStr">
        <is>
          <t>Pedro Ribeiro</t>
        </is>
      </c>
      <c r="M6" s="66" t="n"/>
      <c r="N6" s="65" t="inlineStr">
        <is>
          <t>Pedro Ribeiro</t>
        </is>
      </c>
      <c r="O6" s="66" t="inlineStr">
        <is>
          <t>Georgia Rosa M.</t>
        </is>
      </c>
      <c r="P6" s="6" t="n"/>
      <c r="Q6" s="60" t="inlineStr">
        <is>
          <t>Iris Moreira</t>
        </is>
      </c>
      <c r="R6" s="60" t="inlineStr">
        <is>
          <t>Secundus | T2/T3</t>
        </is>
      </c>
      <c r="S6" s="13">
        <f>COUNTIF($B$4:$O$13,Q6)</f>
        <v/>
      </c>
      <c r="T6" s="13">
        <f>COUNTIF(B:B,Q6)+COUNTIF(D:D,Q6)+COUNTIF(F:F,Q6)+COUNTIF(H:H,Q6)+COUNTIF(J:J,Q6)+COUNTIF(L:L,Q6)+COUNTIF(N:N,Q6)</f>
        <v/>
      </c>
      <c r="U6" s="13">
        <f>COUNTIF(C:C,Q6)+COUNTIF(E:E,Q6)+COUNTIF(G:G,Q6)+COUNTIF(I:I,Q6)+COUNTIF(K:K,Q6)+COUNTIF(M:M,Q6)+COUNTIF(O:O,Q6)</f>
        <v/>
      </c>
      <c r="V6" s="6" t="n"/>
    </row>
    <row r="7" ht="22.5" customHeight="1" s="141">
      <c r="A7" s="70" t="n"/>
      <c r="B7" s="70" t="n"/>
      <c r="C7" s="70" t="n"/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6" t="n"/>
      <c r="Q7" s="64" t="inlineStr">
        <is>
          <t>Léo Grimaldi</t>
        </is>
      </c>
      <c r="R7" s="64" t="inlineStr">
        <is>
          <t>Tertius | T2/T3</t>
        </is>
      </c>
      <c r="S7" s="13">
        <f>COUNTIF($B$4:$O$13,Q7)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4.75" customHeight="1" s="141">
      <c r="A8" s="149" t="inlineStr">
        <is>
          <t>Avery Skye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4" t="n"/>
      <c r="P8" s="6" t="n"/>
      <c r="Q8" s="68" t="inlineStr">
        <is>
          <t>Gabriela Storini</t>
        </is>
      </c>
      <c r="R8" s="68" t="inlineStr">
        <is>
          <t>Secundus | T4/T5</t>
        </is>
      </c>
      <c r="S8" s="13">
        <f>COUNTIF($B$4:$O$13,Q8)</f>
        <v/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2.5" customHeight="1" s="141">
      <c r="A9" s="9" t="inlineStr">
        <is>
          <t>Dia</t>
        </is>
      </c>
      <c r="B9" s="150">
        <f>B$2</f>
        <v/>
      </c>
      <c r="C9" s="146" t="n"/>
      <c r="D9" s="150">
        <f>D$2</f>
        <v/>
      </c>
      <c r="E9" s="146" t="n"/>
      <c r="F9" s="150">
        <f>F$2</f>
        <v/>
      </c>
      <c r="G9" s="146" t="n"/>
      <c r="H9" s="150">
        <f>H$2</f>
        <v/>
      </c>
      <c r="I9" s="146" t="n"/>
      <c r="J9" s="150">
        <f>J$2</f>
        <v/>
      </c>
      <c r="K9" s="146" t="n"/>
      <c r="L9" s="150">
        <f>L$2</f>
        <v/>
      </c>
      <c r="M9" s="146" t="n"/>
      <c r="N9" s="151">
        <f>N$2</f>
        <v/>
      </c>
      <c r="O9" s="148" t="n"/>
      <c r="P9" s="6" t="n"/>
      <c r="Q9" s="71" t="inlineStr">
        <is>
          <t>Ignacio Canelo</t>
        </is>
      </c>
      <c r="R9" s="71" t="inlineStr">
        <is>
          <t>Secundus | T4/T5</t>
        </is>
      </c>
      <c r="S9" s="13">
        <f>COUNTIF($B$4:$O$13,Q9)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Cargo</t>
        </is>
      </c>
      <c r="B10" s="33" t="inlineStr">
        <is>
          <t>Promotor</t>
        </is>
      </c>
      <c r="C10" s="19" t="inlineStr">
        <is>
          <t>Assistant</t>
        </is>
      </c>
      <c r="D10" s="33" t="inlineStr">
        <is>
          <t>Promotor</t>
        </is>
      </c>
      <c r="E10" s="19" t="inlineStr">
        <is>
          <t>Assistant</t>
        </is>
      </c>
      <c r="F10" s="33" t="inlineStr">
        <is>
          <t>Promotor</t>
        </is>
      </c>
      <c r="G10" s="19" t="inlineStr">
        <is>
          <t>Assistant</t>
        </is>
      </c>
      <c r="H10" s="33" t="inlineStr">
        <is>
          <t>Promotor</t>
        </is>
      </c>
      <c r="I10" s="19" t="inlineStr">
        <is>
          <t>Assistant</t>
        </is>
      </c>
      <c r="J10" s="33" t="inlineStr">
        <is>
          <t>Promotor</t>
        </is>
      </c>
      <c r="K10" s="19" t="inlineStr">
        <is>
          <t>Assistant</t>
        </is>
      </c>
      <c r="L10" s="33" t="inlineStr">
        <is>
          <t>Promotor</t>
        </is>
      </c>
      <c r="M10" s="19" t="inlineStr">
        <is>
          <t>Assistant</t>
        </is>
      </c>
      <c r="N10" s="33" t="inlineStr">
        <is>
          <t>Promotor</t>
        </is>
      </c>
      <c r="O10" s="22" t="inlineStr">
        <is>
          <t>Assistant</t>
        </is>
      </c>
      <c r="P10" s="6" t="n"/>
      <c r="Q10" s="74" t="inlineStr">
        <is>
          <t>Carlos de Lucca</t>
        </is>
      </c>
      <c r="R10" s="74" t="inlineStr">
        <is>
          <t>Tertius | T4/T5</t>
        </is>
      </c>
      <c r="S10" s="13">
        <f>COUNTIF($B$4:$O$13,Q10)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T2/T3</t>
        </is>
      </c>
      <c r="B11" s="28" t="inlineStr">
        <is>
          <t>Iris Moreira</t>
        </is>
      </c>
      <c r="C11" s="45" t="n"/>
      <c r="D11" s="26" t="inlineStr">
        <is>
          <t>Léo Grimaldi</t>
        </is>
      </c>
      <c r="E11" s="45" t="n"/>
      <c r="F11" s="28" t="inlineStr">
        <is>
          <t>Iris Moreira</t>
        </is>
      </c>
      <c r="G11" s="45" t="n"/>
      <c r="H11" s="26" t="inlineStr">
        <is>
          <t>Léo Grimaldi</t>
        </is>
      </c>
      <c r="I11" s="45" t="n"/>
      <c r="J11" s="28" t="inlineStr">
        <is>
          <t>Iris Moreira</t>
        </is>
      </c>
      <c r="K11" s="45" t="n"/>
      <c r="L11" s="26" t="inlineStr">
        <is>
          <t>Léo Grimaldi</t>
        </is>
      </c>
      <c r="M11" s="45" t="n"/>
      <c r="N11" s="28" t="inlineStr">
        <is>
          <t>Iris Moreira</t>
        </is>
      </c>
      <c r="O11" s="35" t="n"/>
      <c r="P11" s="6" t="n"/>
      <c r="Q11" s="75" t="inlineStr">
        <is>
          <t>Natasha Tem Tem</t>
        </is>
      </c>
      <c r="R11" s="75" t="inlineStr">
        <is>
          <t>Primaris | T6T1</t>
        </is>
      </c>
      <c r="S11" s="13">
        <f>COUNTIF($B$4:$O$13,Q11)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T4/T5</t>
        </is>
      </c>
      <c r="B12" s="44" t="inlineStr">
        <is>
          <t>Carlos de Lucca</t>
        </is>
      </c>
      <c r="C12" s="45" t="n"/>
      <c r="D12" s="42" t="inlineStr">
        <is>
          <t>Ignacio Canelo</t>
        </is>
      </c>
      <c r="E12" s="45" t="n"/>
      <c r="F12" s="42" t="inlineStr">
        <is>
          <t>Ignacio Canelo</t>
        </is>
      </c>
      <c r="G12" s="45" t="n"/>
      <c r="H12" s="44" t="inlineStr">
        <is>
          <t>Carlos de Lucca</t>
        </is>
      </c>
      <c r="I12" s="45" t="n"/>
      <c r="J12" s="44" t="inlineStr">
        <is>
          <t>Carlos de Lucca</t>
        </is>
      </c>
      <c r="K12" s="45" t="n"/>
      <c r="L12" s="42" t="inlineStr">
        <is>
          <t>Ignacio Canelo</t>
        </is>
      </c>
      <c r="M12" s="42" t="n"/>
      <c r="N12" s="42" t="inlineStr">
        <is>
          <t>Ignacio Canelo</t>
        </is>
      </c>
      <c r="O12" s="35" t="n"/>
      <c r="P12" s="76" t="n"/>
      <c r="Q12" s="15" t="inlineStr">
        <is>
          <t>Pedro Ribeiro</t>
        </is>
      </c>
      <c r="R12" s="15" t="inlineStr">
        <is>
          <t>Gran Primaris | T6/T1</t>
        </is>
      </c>
      <c r="S12" s="13">
        <f>COUNTIF($B$4:$O$13,Q12)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76" t="n"/>
    </row>
    <row r="13" ht="22.5" customHeight="1" s="141">
      <c r="A13" s="61" t="inlineStr">
        <is>
          <t>T6/T1</t>
        </is>
      </c>
      <c r="B13" s="62" t="inlineStr">
        <is>
          <t>Natasha Tem Tem</t>
        </is>
      </c>
      <c r="C13" s="93" t="n"/>
      <c r="D13" s="66" t="inlineStr">
        <is>
          <t>Georgia Rosa M.</t>
        </is>
      </c>
      <c r="E13" s="104" t="n"/>
      <c r="F13" s="62" t="inlineStr">
        <is>
          <t>Natasha Tem Tem</t>
        </is>
      </c>
      <c r="G13" s="104" t="n"/>
      <c r="H13" s="66" t="inlineStr">
        <is>
          <t>Georgia Rosa M.</t>
        </is>
      </c>
      <c r="I13" s="104" t="n"/>
      <c r="J13" s="62" t="inlineStr">
        <is>
          <t>Natasha Tem Tem</t>
        </is>
      </c>
      <c r="K13" s="104" t="n"/>
      <c r="L13" s="66" t="inlineStr">
        <is>
          <t>Georgia Rosa M.</t>
        </is>
      </c>
      <c r="M13" s="104" t="n"/>
      <c r="N13" s="62" t="inlineStr">
        <is>
          <t>Natasha Tem Tem</t>
        </is>
      </c>
      <c r="O13" s="98" t="n"/>
      <c r="P13" s="6" t="n"/>
      <c r="Q13" s="80" t="inlineStr">
        <is>
          <t>Georgia Rosa M.</t>
        </is>
      </c>
      <c r="R13" s="80" t="inlineStr">
        <is>
          <t>Tertius | T6T1</t>
        </is>
      </c>
      <c r="S13" s="13">
        <f>COUNTIF($B$4:$O$13,Q13)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81" t="n"/>
      <c r="R14" s="81" t="n"/>
      <c r="S14" s="82" t="n"/>
      <c r="T14" s="6" t="n"/>
      <c r="U14" s="6" t="n"/>
      <c r="V14" s="6" t="n"/>
    </row>
    <row r="15">
      <c r="A15" s="83" t="n"/>
      <c r="P15" s="84" t="n"/>
      <c r="Q15" s="85" t="n"/>
      <c r="R15" s="85" t="n"/>
      <c r="S15" s="86" t="n"/>
      <c r="T15" s="84" t="n"/>
      <c r="U15" s="84" t="n"/>
      <c r="V15" s="84" t="n"/>
    </row>
    <row r="16">
      <c r="A16" s="86" t="n"/>
      <c r="B16" s="87" t="n"/>
      <c r="D16" s="87" t="n"/>
      <c r="F16" s="87" t="n"/>
      <c r="H16" s="87" t="n"/>
      <c r="J16" s="87" t="n"/>
      <c r="L16" s="87" t="n"/>
      <c r="N16" s="87" t="n"/>
      <c r="P16" s="84" t="n"/>
      <c r="Q16" s="86" t="n"/>
      <c r="R16" s="86" t="n"/>
      <c r="S16" s="86" t="n"/>
      <c r="T16" s="84" t="n"/>
      <c r="U16" s="84" t="n"/>
      <c r="V16" s="84" t="n"/>
    </row>
    <row r="17">
      <c r="A17" s="86" t="n"/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  <c r="N17" s="86" t="n"/>
      <c r="O17" s="86" t="n"/>
      <c r="P17" s="84" t="n"/>
      <c r="Q17" s="88" t="n"/>
      <c r="R17" s="88" t="n"/>
      <c r="S17" s="86" t="n"/>
      <c r="T17" s="84" t="n"/>
      <c r="U17" s="84" t="n"/>
      <c r="V17" s="84" t="n"/>
    </row>
    <row r="18">
      <c r="A18" s="86" t="n"/>
      <c r="B18" s="85" t="n"/>
      <c r="C18" s="89" t="n"/>
      <c r="D18" s="85" t="n"/>
      <c r="E18" s="89" t="n"/>
      <c r="F18" s="90" t="n"/>
      <c r="G18" s="89" t="n"/>
      <c r="H18" s="91" t="n"/>
      <c r="I18" s="89" t="n"/>
      <c r="J18" s="85" t="n"/>
      <c r="K18" s="89" t="n"/>
      <c r="L18" s="90" t="n"/>
      <c r="M18" s="92" t="n"/>
      <c r="N18" s="90" t="n"/>
      <c r="O18" s="89" t="n"/>
      <c r="P18" s="84" t="n"/>
      <c r="Q18" s="94" t="n"/>
      <c r="R18" s="94" t="n"/>
      <c r="S18" s="86" t="n"/>
      <c r="T18" s="84" t="n"/>
      <c r="U18" s="84" t="n"/>
      <c r="V18" s="84" t="n"/>
    </row>
    <row r="19">
      <c r="A19" s="86" t="n"/>
      <c r="B19" s="88" t="n"/>
      <c r="C19" s="89" t="n"/>
      <c r="D19" s="86" t="n"/>
      <c r="E19" s="89" t="n"/>
      <c r="F19" s="88" t="n"/>
      <c r="G19" s="89" t="n"/>
      <c r="I19" s="89" t="n"/>
      <c r="J19" s="88" t="n"/>
      <c r="K19" s="89" t="n"/>
      <c r="L19" s="91" t="n"/>
      <c r="M19" s="89" t="n"/>
      <c r="N19" s="88" t="n"/>
      <c r="O19" s="89" t="n"/>
      <c r="P19" s="84" t="n"/>
      <c r="Q19" s="96" t="n"/>
      <c r="R19" s="96" t="n"/>
      <c r="S19" s="86" t="n"/>
      <c r="T19" s="84" t="n"/>
      <c r="U19" s="84" t="n"/>
      <c r="V19" s="84" t="n"/>
    </row>
    <row r="20">
      <c r="A20" s="86" t="n"/>
      <c r="B20" s="97" t="n"/>
      <c r="C20" s="89" t="n"/>
      <c r="D20" s="97" t="n"/>
      <c r="E20" s="89" t="n"/>
      <c r="F20" s="99" t="n"/>
      <c r="G20" s="89" t="n"/>
      <c r="H20" s="99" t="n"/>
      <c r="I20" s="89" t="n"/>
      <c r="J20" s="99" t="n"/>
      <c r="K20" s="89" t="n"/>
      <c r="L20" s="100" t="n"/>
      <c r="M20" s="89" t="n"/>
      <c r="N20" s="100" t="n"/>
      <c r="O20" s="89" t="n"/>
      <c r="P20" s="84" t="n"/>
      <c r="Q20" s="101" t="n"/>
      <c r="R20" s="101" t="n"/>
      <c r="S20" s="86" t="n"/>
      <c r="T20" s="84" t="n"/>
      <c r="U20" s="84" t="n"/>
      <c r="V20" s="84" t="n"/>
    </row>
    <row r="22">
      <c r="Q22" s="102" t="n"/>
      <c r="R22" s="102" t="n"/>
    </row>
    <row r="24">
      <c r="S24" s="103" t="n"/>
    </row>
  </sheetData>
  <mergeCells count="24">
    <mergeCell ref="L2:M2"/>
    <mergeCell ref="B16:C16"/>
    <mergeCell ref="F16:G16"/>
    <mergeCell ref="L16:M16"/>
    <mergeCell ref="N16:O16"/>
    <mergeCell ref="H9:I9"/>
    <mergeCell ref="J9:K9"/>
    <mergeCell ref="B2:C2"/>
    <mergeCell ref="D2:E2"/>
    <mergeCell ref="N2:O2"/>
    <mergeCell ref="A8:O8"/>
    <mergeCell ref="F2:G2"/>
    <mergeCell ref="D16:E16"/>
    <mergeCell ref="H2:I2"/>
    <mergeCell ref="H16:I16"/>
    <mergeCell ref="J16:K16"/>
    <mergeCell ref="B9:C9"/>
    <mergeCell ref="D9:E9"/>
    <mergeCell ref="F9:G9"/>
    <mergeCell ref="L9:M9"/>
    <mergeCell ref="N9:O9"/>
    <mergeCell ref="A15:O15"/>
    <mergeCell ref="J2:K2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/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inlineStr">
        <is>
          <t>05/26</t>
        </is>
      </c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46167</v>
      </c>
      <c r="C3" s="146" t="n"/>
      <c r="D3" s="150" t="n">
        <v>46168</v>
      </c>
      <c r="E3" s="146" t="n"/>
      <c r="F3" s="150" t="n">
        <v>46169</v>
      </c>
      <c r="G3" s="146" t="n"/>
      <c r="H3" s="150" t="n">
        <v>46170</v>
      </c>
      <c r="I3" s="146" t="n"/>
      <c r="J3" s="150" t="n">
        <v>46171</v>
      </c>
      <c r="K3" s="146" t="n"/>
      <c r="L3" s="150" t="n">
        <v>46172</v>
      </c>
      <c r="M3" s="146" t="n"/>
      <c r="N3" s="150" t="n">
        <v>46173</v>
      </c>
      <c r="O3" s="146" t="n"/>
      <c r="P3" s="6" t="n"/>
      <c r="Q3" s="15" t="inlineStr">
        <is>
          <t>Pedro Ribeiro</t>
        </is>
      </c>
      <c r="R3" s="15" t="inlineStr">
        <is>
          <t>Gran Primaris | T6/T1</t>
        </is>
      </c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19" t="inlineStr">
        <is>
          <t>Assistant</t>
        </is>
      </c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4" t="inlineStr">
        <is>
          <t>Carolinne Pacheco</t>
        </is>
      </c>
      <c r="C5" s="26" t="n"/>
      <c r="D5" s="24" t="inlineStr">
        <is>
          <t>Carolinne Pacheco</t>
        </is>
      </c>
      <c r="E5" s="26" t="inlineStr">
        <is>
          <t>Léo Grimaldi</t>
        </is>
      </c>
      <c r="F5" s="28" t="inlineStr">
        <is>
          <t>Iris Moreira</t>
        </is>
      </c>
      <c r="G5" s="26" t="n"/>
      <c r="H5" s="24" t="inlineStr">
        <is>
          <t>Carolinne Pacheco</t>
        </is>
      </c>
      <c r="I5" s="26" t="inlineStr">
        <is>
          <t>Léo Grimaldi</t>
        </is>
      </c>
      <c r="J5" s="24" t="inlineStr">
        <is>
          <t>Carolinne Pacheco</t>
        </is>
      </c>
      <c r="K5" s="26" t="n"/>
      <c r="L5" s="24" t="inlineStr">
        <is>
          <t>Carolinne Pacheco</t>
        </is>
      </c>
      <c r="M5" s="31" t="n"/>
      <c r="N5" s="33" t="inlineStr">
        <is>
          <t>Buscando REP</t>
        </is>
      </c>
      <c r="O5" s="35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39" t="inlineStr">
        <is>
          <t>Gabriela Storini</t>
        </is>
      </c>
      <c r="C6" s="41" t="n"/>
      <c r="D6" s="42" t="inlineStr">
        <is>
          <t>Ignacio Canelo</t>
        </is>
      </c>
      <c r="E6" s="44" t="n"/>
      <c r="F6" s="39" t="inlineStr">
        <is>
          <t>Gabriela Storini</t>
        </is>
      </c>
      <c r="G6" s="44" t="inlineStr">
        <is>
          <t>Carlos de Lucca</t>
        </is>
      </c>
      <c r="H6" s="39" t="inlineStr">
        <is>
          <t>Gabriela Storini</t>
        </is>
      </c>
      <c r="I6" s="45" t="n"/>
      <c r="J6" s="39" t="inlineStr">
        <is>
          <t>Gabriela Storini</t>
        </is>
      </c>
      <c r="K6" s="44" t="n"/>
      <c r="L6" s="42" t="inlineStr">
        <is>
          <t>Ignacio Canelo</t>
        </is>
      </c>
      <c r="M6" s="44" t="n"/>
      <c r="N6" s="39" t="inlineStr">
        <is>
          <t>Gabriela Storini</t>
        </is>
      </c>
      <c r="O6" s="44" t="inlineStr">
        <is>
          <t>Carlos de Lucca</t>
        </is>
      </c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2" t="inlineStr">
        <is>
          <t>Natasha Tem Tem</t>
        </is>
      </c>
      <c r="C7" s="63" t="n"/>
      <c r="D7" s="62" t="inlineStr">
        <is>
          <t>Natasha Tem Tem</t>
        </is>
      </c>
      <c r="E7" s="66" t="n"/>
      <c r="F7" s="65" t="inlineStr">
        <is>
          <t>Pedro Ribeiro</t>
        </is>
      </c>
      <c r="G7" s="66" t="n"/>
      <c r="H7" s="65" t="inlineStr">
        <is>
          <t>Pedro Ribeiro</t>
        </is>
      </c>
      <c r="I7" s="67" t="n"/>
      <c r="J7" s="62" t="inlineStr">
        <is>
          <t>Natasha Tem Tem</t>
        </is>
      </c>
      <c r="K7" s="67" t="n"/>
      <c r="L7" s="65" t="inlineStr">
        <is>
          <t>Pedro Ribeiro</t>
        </is>
      </c>
      <c r="M7" s="66" t="inlineStr">
        <is>
          <t>Georgia Rosa M.</t>
        </is>
      </c>
      <c r="N7" s="65" t="inlineStr">
        <is>
          <t>Pedro Ribeiro</t>
        </is>
      </c>
      <c r="O7" s="66" t="n"/>
      <c r="P7" s="6" t="n"/>
      <c r="Q7" s="60" t="inlineStr">
        <is>
          <t>Iris Moreira</t>
        </is>
      </c>
      <c r="R7" s="60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64" t="inlineStr">
        <is>
          <t>Léo Grimaldi</t>
        </is>
      </c>
      <c r="R8" s="64" t="inlineStr">
        <is>
          <t>Tertius | T2/T3</t>
        </is>
      </c>
      <c r="S8" s="13">
        <f>COUNTIF($B$5:$O$14,Q8)</f>
        <v/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Avery Skye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26" t="inlineStr">
        <is>
          <t>Léo Grimaldi</t>
        </is>
      </c>
      <c r="C12" s="45" t="n"/>
      <c r="D12" s="28" t="inlineStr">
        <is>
          <t>Iris Moreira</t>
        </is>
      </c>
      <c r="E12" s="45" t="n"/>
      <c r="F12" s="26" t="inlineStr">
        <is>
          <t>Léo Grimaldi</t>
        </is>
      </c>
      <c r="G12" s="26" t="n"/>
      <c r="H12" s="28" t="inlineStr">
        <is>
          <t>Iris Moreira</t>
        </is>
      </c>
      <c r="I12" s="45" t="n"/>
      <c r="J12" s="28" t="inlineStr">
        <is>
          <t>Iris Moreira</t>
        </is>
      </c>
      <c r="K12" s="45" t="n"/>
      <c r="L12" s="26" t="inlineStr">
        <is>
          <t>Léo Grimaldi</t>
        </is>
      </c>
      <c r="M12" s="45" t="n"/>
      <c r="N12" s="26" t="inlineStr">
        <is>
          <t>Léo Grimaldi</t>
        </is>
      </c>
      <c r="O12" s="35" t="n"/>
      <c r="P12" s="6" t="n"/>
      <c r="Q12" s="75" t="inlineStr">
        <is>
          <t>Natasha Tem Tem</t>
        </is>
      </c>
      <c r="R12" s="75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4" t="inlineStr">
        <is>
          <t>Carlos de Lucca</t>
        </is>
      </c>
      <c r="C13" s="45" t="n"/>
      <c r="D13" s="44" t="inlineStr">
        <is>
          <t>Carlos de Lucca</t>
        </is>
      </c>
      <c r="E13" s="45" t="n"/>
      <c r="F13" s="42" t="inlineStr">
        <is>
          <t>Ignacio Canelo</t>
        </is>
      </c>
      <c r="G13" s="45" t="n"/>
      <c r="H13" s="42" t="inlineStr">
        <is>
          <t>Ignacio Canelo</t>
        </is>
      </c>
      <c r="I13" s="45" t="n"/>
      <c r="J13" s="44" t="inlineStr">
        <is>
          <t>Carlos de Lucca</t>
        </is>
      </c>
      <c r="K13" s="45" t="n"/>
      <c r="L13" s="44" t="inlineStr">
        <is>
          <t>Carlos de Lucca</t>
        </is>
      </c>
      <c r="M13" s="42" t="n"/>
      <c r="N13" s="42" t="inlineStr">
        <is>
          <t>Ignacio Canelo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6" t="inlineStr">
        <is>
          <t>Georgia Rosa M.</t>
        </is>
      </c>
      <c r="C14" s="93" t="n"/>
      <c r="D14" s="66" t="inlineStr">
        <is>
          <t>Georgia Rosa M.</t>
        </is>
      </c>
      <c r="E14" s="104" t="n"/>
      <c r="F14" s="62" t="inlineStr">
        <is>
          <t>Natasha Tem Tem</t>
        </is>
      </c>
      <c r="G14" s="104" t="n"/>
      <c r="H14" s="66" t="inlineStr">
        <is>
          <t>Georgia Rosa M.</t>
        </is>
      </c>
      <c r="I14" s="104" t="n"/>
      <c r="J14" s="66" t="inlineStr">
        <is>
          <t>Georgia Rosa M.</t>
        </is>
      </c>
      <c r="K14" s="104" t="n"/>
      <c r="L14" s="62" t="inlineStr">
        <is>
          <t>Natasha Tem Tem</t>
        </is>
      </c>
      <c r="M14" s="104" t="n"/>
      <c r="N14" s="62" t="inlineStr">
        <is>
          <t>Natasha Tem Tem</t>
        </is>
      </c>
      <c r="O14" s="98" t="n"/>
      <c r="P14" s="6" t="n"/>
      <c r="Q14" s="80" t="inlineStr">
        <is>
          <t>Georgia Rosa M.</t>
        </is>
      </c>
      <c r="R14" s="80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/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46174</v>
      </c>
      <c r="C3" s="146" t="n"/>
      <c r="D3" s="150" t="n">
        <v>46175</v>
      </c>
      <c r="E3" s="146" t="n"/>
      <c r="F3" s="150" t="n">
        <v>46176</v>
      </c>
      <c r="G3" s="146" t="n"/>
      <c r="H3" s="150" t="n">
        <v>46177</v>
      </c>
      <c r="I3" s="146" t="n"/>
      <c r="J3" s="150" t="n">
        <v>46178</v>
      </c>
      <c r="K3" s="146" t="n"/>
      <c r="L3" s="150" t="n">
        <v>46179</v>
      </c>
      <c r="M3" s="146" t="n"/>
      <c r="N3" s="150" t="n">
        <v>46180</v>
      </c>
      <c r="O3" s="146" t="n"/>
      <c r="P3" s="6" t="n"/>
      <c r="Q3" s="1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19" t="inlineStr">
        <is>
          <t>Assistant</t>
        </is>
      </c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4" t="inlineStr">
        <is>
          <t>Carolinne Pacheco</t>
        </is>
      </c>
      <c r="C5" s="26" t="n"/>
      <c r="D5" s="24" t="inlineStr">
        <is>
          <t>Carolinne Pacheco</t>
        </is>
      </c>
      <c r="E5" s="26" t="n"/>
      <c r="F5" s="24" t="inlineStr">
        <is>
          <t>Carolinne Pacheco</t>
        </is>
      </c>
      <c r="G5" s="38" t="inlineStr">
        <is>
          <t>Oliver Melo</t>
        </is>
      </c>
      <c r="H5" s="26" t="inlineStr">
        <is>
          <t>Léo Grimaldi</t>
        </is>
      </c>
      <c r="I5" s="26" t="n"/>
      <c r="J5" s="24" t="inlineStr">
        <is>
          <t>Carolinne Pacheco</t>
        </is>
      </c>
      <c r="K5" s="26" t="n"/>
      <c r="L5" s="24" t="inlineStr">
        <is>
          <t>Carolinne Pacheco</t>
        </is>
      </c>
      <c r="M5" s="31" t="n"/>
      <c r="N5" s="24" t="inlineStr">
        <is>
          <t>Carolinne Pacheco</t>
        </is>
      </c>
      <c r="O5" s="35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39" t="inlineStr">
        <is>
          <t>Gabriela Storini</t>
        </is>
      </c>
      <c r="C6" s="41" t="n"/>
      <c r="D6" s="39" t="inlineStr">
        <is>
          <t>Gabriela Storini</t>
        </is>
      </c>
      <c r="E6" s="44" t="n"/>
      <c r="F6" s="42" t="inlineStr">
        <is>
          <t>Ignacio Canelo</t>
        </is>
      </c>
      <c r="G6" s="44" t="n"/>
      <c r="H6" s="39" t="inlineStr">
        <is>
          <t>Gabriela Storini</t>
        </is>
      </c>
      <c r="I6" s="44" t="n"/>
      <c r="J6" s="39" t="inlineStr">
        <is>
          <t>Gabriela Storini</t>
        </is>
      </c>
      <c r="K6" s="44" t="n"/>
      <c r="L6" s="39" t="inlineStr">
        <is>
          <t>Gabriela Storini</t>
        </is>
      </c>
      <c r="M6" s="44" t="n"/>
      <c r="N6" s="42" t="inlineStr">
        <is>
          <t>Ignacio Canelo</t>
        </is>
      </c>
      <c r="O6" s="50" t="n"/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5" t="inlineStr">
        <is>
          <t>Pedro Ribeiro</t>
        </is>
      </c>
      <c r="C7" s="63" t="n"/>
      <c r="D7" s="62" t="inlineStr">
        <is>
          <t>Natasha Tem Tem</t>
        </is>
      </c>
      <c r="E7" s="66" t="n"/>
      <c r="F7" s="65" t="inlineStr">
        <is>
          <t>Pedro Ribeiro</t>
        </is>
      </c>
      <c r="G7" s="66" t="inlineStr">
        <is>
          <t>Georgia Rosa M.</t>
        </is>
      </c>
      <c r="H7" s="65" t="inlineStr">
        <is>
          <t>Pedro Ribeiro</t>
        </is>
      </c>
      <c r="I7" s="67" t="n"/>
      <c r="J7" s="65" t="inlineStr">
        <is>
          <t>Pedro Ribeiro</t>
        </is>
      </c>
      <c r="K7" s="67" t="n"/>
      <c r="L7" s="62" t="inlineStr">
        <is>
          <t>Natasha Tem Tem</t>
        </is>
      </c>
      <c r="M7" s="66" t="n"/>
      <c r="N7" s="65" t="inlineStr">
        <is>
          <t>Pedro Ribeiro</t>
        </is>
      </c>
      <c r="O7" s="66" t="inlineStr">
        <is>
          <t>Georgia Rosa M.</t>
        </is>
      </c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Assist T2/T3</t>
        </is>
      </c>
      <c r="S8" s="13">
        <f>COUNTIF($B$5:$O$14,Q8)</f>
        <v/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Avery Skye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26" t="inlineStr">
        <is>
          <t>Léo Grimaldi</t>
        </is>
      </c>
      <c r="C12" s="45" t="n"/>
      <c r="D12" s="65" t="inlineStr">
        <is>
          <t>Pedro Ribeiro</t>
        </is>
      </c>
      <c r="E12" s="45" t="n"/>
      <c r="F12" s="26" t="inlineStr">
        <is>
          <t>Léo Grimaldi</t>
        </is>
      </c>
      <c r="G12" s="38" t="n"/>
      <c r="H12" s="44" t="inlineStr">
        <is>
          <t>Carlos de Lucca</t>
        </is>
      </c>
      <c r="I12" s="45" t="n"/>
      <c r="J12" s="26" t="inlineStr">
        <is>
          <t>Léo Grimaldi</t>
        </is>
      </c>
      <c r="K12" s="38" t="inlineStr">
        <is>
          <t>Oliver Melo</t>
        </is>
      </c>
      <c r="L12" s="26" t="inlineStr">
        <is>
          <t>Léo Grimaldi</t>
        </is>
      </c>
      <c r="M12" s="38" t="inlineStr">
        <is>
          <t>Oliver Melo</t>
        </is>
      </c>
      <c r="N12" s="26" t="inlineStr">
        <is>
          <t>Léo Grimaldi</t>
        </is>
      </c>
      <c r="O12" s="38" t="inlineStr">
        <is>
          <t>Oliver Melo</t>
        </is>
      </c>
      <c r="P12" s="6" t="n"/>
      <c r="Q12" s="75" t="inlineStr">
        <is>
          <t>Natasha Tem Tem</t>
        </is>
      </c>
      <c r="R12" s="75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2" t="inlineStr">
        <is>
          <t>Ignacio Canelo</t>
        </is>
      </c>
      <c r="C13" s="45" t="n"/>
      <c r="D13" s="44" t="inlineStr">
        <is>
          <t>Carlos de Lucca</t>
        </is>
      </c>
      <c r="E13" s="44" t="n"/>
      <c r="F13" s="44" t="inlineStr">
        <is>
          <t>Carlos de Lucca</t>
        </is>
      </c>
      <c r="G13" s="45" t="n"/>
      <c r="H13" s="42" t="inlineStr">
        <is>
          <t>Ignacio Canelo</t>
        </is>
      </c>
      <c r="I13" s="45" t="n"/>
      <c r="J13" s="42" t="inlineStr">
        <is>
          <t>Ignacio Canelo</t>
        </is>
      </c>
      <c r="K13" s="45" t="n"/>
      <c r="L13" s="44" t="inlineStr">
        <is>
          <t>Carlos de Lucca</t>
        </is>
      </c>
      <c r="M13" s="42" t="n"/>
      <c r="N13" s="44" t="inlineStr">
        <is>
          <t>Carlos de Lucca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5" t="inlineStr">
        <is>
          <t>Pedro Ribeiro</t>
        </is>
      </c>
      <c r="C14" s="93" t="n"/>
      <c r="D14" s="66" t="inlineStr">
        <is>
          <t>Georgia Rosa M.</t>
        </is>
      </c>
      <c r="E14" s="104" t="n"/>
      <c r="F14" s="62" t="inlineStr">
        <is>
          <t>Natasha Tem Tem</t>
        </is>
      </c>
      <c r="G14" s="62" t="n"/>
      <c r="H14" s="62" t="inlineStr">
        <is>
          <t>Natasha Tem Tem</t>
        </is>
      </c>
      <c r="I14" s="104" t="n"/>
      <c r="J14" s="66" t="inlineStr">
        <is>
          <t>Georgia Rosa M.</t>
        </is>
      </c>
      <c r="K14" s="104" t="n"/>
      <c r="L14" s="66" t="inlineStr">
        <is>
          <t>Georgia Rosa M.</t>
        </is>
      </c>
      <c r="M14" s="104" t="n"/>
      <c r="N14" s="62" t="inlineStr">
        <is>
          <t>Natasha Tem Tem</t>
        </is>
      </c>
      <c r="O14" s="66" t="n"/>
      <c r="P14" s="6" t="n"/>
      <c r="Q14" s="80" t="inlineStr">
        <is>
          <t>Georgia Rosa M.</t>
        </is>
      </c>
      <c r="R14" s="80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/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46181</v>
      </c>
      <c r="C3" s="146" t="n"/>
      <c r="D3" s="150" t="n">
        <v>46182</v>
      </c>
      <c r="E3" s="146" t="n"/>
      <c r="F3" s="150" t="n">
        <v>46183</v>
      </c>
      <c r="G3" s="146" t="n"/>
      <c r="H3" s="150" t="n">
        <v>46184</v>
      </c>
      <c r="I3" s="146" t="n"/>
      <c r="J3" s="150" t="n">
        <v>46185</v>
      </c>
      <c r="K3" s="146" t="n"/>
      <c r="L3" s="150" t="n">
        <v>46186</v>
      </c>
      <c r="M3" s="146" t="n"/>
      <c r="N3" s="150" t="n">
        <v>46187</v>
      </c>
      <c r="O3" s="146" t="n"/>
      <c r="P3" s="6" t="n"/>
      <c r="Q3" s="1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19" t="inlineStr">
        <is>
          <t>Assistant</t>
        </is>
      </c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6" t="inlineStr">
        <is>
          <t>Léo Grimaldi</t>
        </is>
      </c>
      <c r="C5" s="26" t="n"/>
      <c r="D5" s="24" t="inlineStr">
        <is>
          <t>Carolinne Pacheco</t>
        </is>
      </c>
      <c r="E5" s="26" t="n"/>
      <c r="F5" s="24" t="inlineStr">
        <is>
          <t>Carolinne Pacheco</t>
        </is>
      </c>
      <c r="G5" s="38" t="n"/>
      <c r="H5" s="24" t="inlineStr">
        <is>
          <t>Carolinne Pacheco</t>
        </is>
      </c>
      <c r="I5" s="38" t="inlineStr">
        <is>
          <t>Oliver Melo</t>
        </is>
      </c>
      <c r="J5" s="26" t="inlineStr">
        <is>
          <t>Léo Grimaldi</t>
        </is>
      </c>
      <c r="K5" s="26" t="n"/>
      <c r="L5" s="24" t="inlineStr">
        <is>
          <t>Carolinne Pacheco</t>
        </is>
      </c>
      <c r="M5" s="31" t="n"/>
      <c r="N5" s="24" t="inlineStr">
        <is>
          <t>Carolinne Pacheco</t>
        </is>
      </c>
      <c r="O5" s="35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39" t="inlineStr">
        <is>
          <t>Gabriela Storini</t>
        </is>
      </c>
      <c r="C6" s="44" t="n"/>
      <c r="D6" s="39" t="inlineStr">
        <is>
          <t>Gabriela Storini</t>
        </is>
      </c>
      <c r="E6" s="44" t="n"/>
      <c r="F6" s="39" t="inlineStr">
        <is>
          <t>Gabriela Storini</t>
        </is>
      </c>
      <c r="G6" s="44" t="n"/>
      <c r="H6" s="42" t="inlineStr">
        <is>
          <t>Ignacio Canelo</t>
        </is>
      </c>
      <c r="I6" s="44" t="n"/>
      <c r="J6" s="39" t="inlineStr">
        <is>
          <t>Gabriela Storini</t>
        </is>
      </c>
      <c r="K6" s="44" t="inlineStr">
        <is>
          <t>Carlos de Lucca</t>
        </is>
      </c>
      <c r="L6" s="39" t="inlineStr">
        <is>
          <t>Gabriela Storini</t>
        </is>
      </c>
      <c r="M6" s="44" t="n"/>
      <c r="N6" s="39" t="inlineStr">
        <is>
          <t>Gabriela Storini</t>
        </is>
      </c>
      <c r="O6" s="50" t="n"/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5" t="inlineStr">
        <is>
          <t>Pedro Ribeiro</t>
        </is>
      </c>
      <c r="C7" s="63" t="n"/>
      <c r="D7" s="65" t="inlineStr">
        <is>
          <t>Pedro Ribeiro</t>
        </is>
      </c>
      <c r="E7" s="66" t="n"/>
      <c r="F7" s="62" t="inlineStr">
        <is>
          <t>Natasha Tem Tem</t>
        </is>
      </c>
      <c r="G7" s="66" t="n"/>
      <c r="H7" s="65" t="inlineStr">
        <is>
          <t>Pedro Ribeiro</t>
        </is>
      </c>
      <c r="I7" s="66" t="inlineStr">
        <is>
          <t>Georgia Rosa M.</t>
        </is>
      </c>
      <c r="J7" s="65" t="inlineStr">
        <is>
          <t>Pedro Ribeiro</t>
        </is>
      </c>
      <c r="K7" s="67" t="n"/>
      <c r="L7" s="65" t="inlineStr">
        <is>
          <t>Pedro Ribeiro</t>
        </is>
      </c>
      <c r="M7" s="66" t="inlineStr">
        <is>
          <t>só issy</t>
        </is>
      </c>
      <c r="N7" s="62" t="inlineStr">
        <is>
          <t>Natasha Tem Tem</t>
        </is>
      </c>
      <c r="O7" s="66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Assist T2/T3</t>
        </is>
      </c>
      <c r="S8" s="13">
        <f>COUNTIF($B$5:$O$14,Q8)</f>
        <v/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Avery Skye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44" t="inlineStr">
        <is>
          <t>Carlos de Lucca</t>
        </is>
      </c>
      <c r="C12" s="45" t="n"/>
      <c r="D12" s="38" t="inlineStr">
        <is>
          <t>Oliver Melo</t>
        </is>
      </c>
      <c r="E12" s="45" t="n"/>
      <c r="F12" s="26" t="inlineStr">
        <is>
          <t>Léo Grimaldi</t>
        </is>
      </c>
      <c r="G12" s="38" t="n"/>
      <c r="H12" s="26" t="inlineStr">
        <is>
          <t>Léo Grimaldi</t>
        </is>
      </c>
      <c r="I12" s="45" t="n"/>
      <c r="J12" s="38" t="inlineStr">
        <is>
          <t>Oliver Melo</t>
        </is>
      </c>
      <c r="K12" s="38" t="n"/>
      <c r="L12" s="38" t="inlineStr">
        <is>
          <t>Oliver Melo</t>
        </is>
      </c>
      <c r="M12" s="38" t="n"/>
      <c r="N12" s="26" t="inlineStr">
        <is>
          <t>Léo Grimaldi</t>
        </is>
      </c>
      <c r="O12" s="38" t="n"/>
      <c r="P12" s="6" t="n"/>
      <c r="Q12" s="75" t="inlineStr">
        <is>
          <t>Natasha Tem Tem</t>
        </is>
      </c>
      <c r="R12" s="75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2" t="inlineStr">
        <is>
          <t>Ignacio Canelo</t>
        </is>
      </c>
      <c r="C13" s="45" t="n"/>
      <c r="D13" s="42" t="inlineStr">
        <is>
          <t>Ignacio Canelo</t>
        </is>
      </c>
      <c r="E13" s="44" t="n"/>
      <c r="F13" s="44" t="inlineStr">
        <is>
          <t>Carlos de Lucca</t>
        </is>
      </c>
      <c r="G13" s="45" t="n"/>
      <c r="H13" s="44" t="inlineStr">
        <is>
          <t>Carlos de Lucca</t>
        </is>
      </c>
      <c r="I13" s="45" t="n"/>
      <c r="J13" s="42" t="inlineStr">
        <is>
          <t>Ignacio Canelo</t>
        </is>
      </c>
      <c r="K13" s="45" t="n"/>
      <c r="L13" s="42" t="inlineStr">
        <is>
          <t>Ignacio Canelo</t>
        </is>
      </c>
      <c r="M13" s="42" t="n"/>
      <c r="N13" s="44" t="inlineStr">
        <is>
          <t>Carlos de Lucca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2" t="inlineStr">
        <is>
          <t>Natasha Tem Tem</t>
        </is>
      </c>
      <c r="C14" s="93" t="n"/>
      <c r="D14" s="66" t="inlineStr">
        <is>
          <t>Georgia Rosa M.</t>
        </is>
      </c>
      <c r="E14" s="104" t="n"/>
      <c r="F14" s="66" t="inlineStr">
        <is>
          <t>Georgia Rosa M.</t>
        </is>
      </c>
      <c r="G14" s="62" t="n"/>
      <c r="H14" s="62" t="inlineStr">
        <is>
          <t>Natasha Tem Tem</t>
        </is>
      </c>
      <c r="I14" s="104" t="n"/>
      <c r="J14" s="62" t="inlineStr">
        <is>
          <t>Natasha Tem Tem</t>
        </is>
      </c>
      <c r="K14" s="104" t="n"/>
      <c r="L14" s="66" t="inlineStr">
        <is>
          <t>Georgia Rosa M.</t>
        </is>
      </c>
      <c r="M14" s="104" t="inlineStr">
        <is>
          <t xml:space="preserve"> fez joyce</t>
        </is>
      </c>
      <c r="N14" s="66" t="inlineStr">
        <is>
          <t>Georgia Rosa M.</t>
        </is>
      </c>
      <c r="O14" s="66" t="n"/>
      <c r="P14" s="6" t="n"/>
      <c r="Q14" s="80" t="inlineStr">
        <is>
          <t>Georgia Rosa M.</t>
        </is>
      </c>
      <c r="R14" s="80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/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46188</v>
      </c>
      <c r="C3" s="146" t="n"/>
      <c r="D3" s="150" t="n">
        <v>46189</v>
      </c>
      <c r="E3" s="146" t="n"/>
      <c r="F3" s="150" t="n">
        <v>46190</v>
      </c>
      <c r="G3" s="146" t="n"/>
      <c r="H3" s="150" t="n">
        <v>46191</v>
      </c>
      <c r="I3" s="146" t="n"/>
      <c r="J3" s="150" t="n">
        <v>46192</v>
      </c>
      <c r="K3" s="146" t="n"/>
      <c r="L3" s="150" t="n">
        <v>46193</v>
      </c>
      <c r="M3" s="146" t="n"/>
      <c r="N3" s="150" t="n">
        <v>46194</v>
      </c>
      <c r="O3" s="146" t="n"/>
      <c r="P3" s="6" t="n"/>
      <c r="Q3" s="1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19" t="inlineStr">
        <is>
          <t>Assistant</t>
        </is>
      </c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4" t="inlineStr">
        <is>
          <t>Carolinne Pacheco</t>
        </is>
      </c>
      <c r="C5" s="38" t="inlineStr">
        <is>
          <t>Oliver Melo</t>
        </is>
      </c>
      <c r="D5" s="26" t="inlineStr">
        <is>
          <t>Léo Grimaldi</t>
        </is>
      </c>
      <c r="E5" s="26" t="n"/>
      <c r="F5" s="24" t="inlineStr">
        <is>
          <t>Carolinne Pacheco</t>
        </is>
      </c>
      <c r="G5" s="38" t="n"/>
      <c r="H5" s="24" t="inlineStr">
        <is>
          <t>Carolinne Pacheco</t>
        </is>
      </c>
      <c r="I5" s="38" t="n"/>
      <c r="J5" s="24" t="inlineStr">
        <is>
          <t>Carolinne Pacheco</t>
        </is>
      </c>
      <c r="K5" s="38" t="inlineStr">
        <is>
          <t>Oliver Melo</t>
        </is>
      </c>
      <c r="L5" s="26" t="inlineStr">
        <is>
          <t>Léo Grimaldi</t>
        </is>
      </c>
      <c r="M5" s="31" t="n"/>
      <c r="N5" s="24" t="inlineStr">
        <is>
          <t>Carolinne Pacheco</t>
        </is>
      </c>
      <c r="O5" s="35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42" t="inlineStr">
        <is>
          <t>Ignacio Canelo</t>
        </is>
      </c>
      <c r="C6" s="44" t="n"/>
      <c r="D6" s="39" t="inlineStr">
        <is>
          <t>Gabriela Storini</t>
        </is>
      </c>
      <c r="E6" s="44" t="n"/>
      <c r="F6" s="39" t="inlineStr">
        <is>
          <t>Gabriela Storini</t>
        </is>
      </c>
      <c r="G6" s="44" t="n"/>
      <c r="H6" s="39" t="inlineStr">
        <is>
          <t>Gabriela Storini</t>
        </is>
      </c>
      <c r="I6" s="44" t="n"/>
      <c r="J6" s="42" t="inlineStr">
        <is>
          <t>Ignacio Canelo</t>
        </is>
      </c>
      <c r="K6" s="44" t="n"/>
      <c r="L6" s="39" t="inlineStr">
        <is>
          <t>Gabriela Storini</t>
        </is>
      </c>
      <c r="M6" s="44" t="inlineStr">
        <is>
          <t>Carlos de Lucca</t>
        </is>
      </c>
      <c r="N6" s="39" t="inlineStr">
        <is>
          <t>Gabriela Storini</t>
        </is>
      </c>
      <c r="O6" s="50" t="n"/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5" t="inlineStr">
        <is>
          <t>Pedro Ribeiro</t>
        </is>
      </c>
      <c r="C7" s="66" t="n"/>
      <c r="D7" s="65" t="inlineStr">
        <is>
          <t>Pedro Ribeiro</t>
        </is>
      </c>
      <c r="E7" s="66" t="n"/>
      <c r="F7" s="65" t="inlineStr">
        <is>
          <t>Pedro Ribeiro</t>
        </is>
      </c>
      <c r="G7" s="66" t="n"/>
      <c r="H7" s="62" t="inlineStr">
        <is>
          <t>Natasha Tem Tem</t>
        </is>
      </c>
      <c r="I7" s="66" t="n"/>
      <c r="J7" s="66" t="inlineStr">
        <is>
          <t>Georgia Rosa M.</t>
        </is>
      </c>
      <c r="K7" s="66" t="n"/>
      <c r="L7" s="65" t="inlineStr">
        <is>
          <t>Pedro Ribeiro</t>
        </is>
      </c>
      <c r="M7" s="66" t="n"/>
      <c r="N7" s="65" t="inlineStr">
        <is>
          <t>Pedro Ribeiro</t>
        </is>
      </c>
      <c r="O7" s="66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>
        <f>COUNTIF($B$5:$O$14,Q8)</f>
        <v/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Avery Skye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26" t="inlineStr">
        <is>
          <t>Léo Grimaldi</t>
        </is>
      </c>
      <c r="C12" s="45" t="n"/>
      <c r="D12" s="38" t="inlineStr">
        <is>
          <t>Oliver Melo</t>
        </is>
      </c>
      <c r="E12" s="45" t="n"/>
      <c r="F12" s="38" t="inlineStr">
        <is>
          <t>Oliver Melo</t>
        </is>
      </c>
      <c r="G12" s="38" t="n"/>
      <c r="H12" s="26" t="inlineStr">
        <is>
          <t>Léo Grimaldi</t>
        </is>
      </c>
      <c r="I12" s="45" t="n"/>
      <c r="J12" s="26" t="inlineStr">
        <is>
          <t>Léo Grimaldi</t>
        </is>
      </c>
      <c r="K12" s="38" t="n"/>
      <c r="L12" s="38" t="inlineStr">
        <is>
          <t>Oliver Melo</t>
        </is>
      </c>
      <c r="M12" s="38" t="n"/>
      <c r="N12" s="38" t="inlineStr">
        <is>
          <t>Oliver Melo</t>
        </is>
      </c>
      <c r="O12" s="38" t="n"/>
      <c r="P12" s="6" t="n"/>
      <c r="Q12" s="75" t="inlineStr">
        <is>
          <t>Natasha Tem Tem</t>
        </is>
      </c>
      <c r="R12" s="75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4" t="inlineStr">
        <is>
          <t>Carlos de Lucca</t>
        </is>
      </c>
      <c r="C13" s="45" t="n"/>
      <c r="D13" s="42" t="inlineStr">
        <is>
          <t>Ignacio Canelo</t>
        </is>
      </c>
      <c r="E13" s="44" t="inlineStr">
        <is>
          <t>Carlos de Lucca</t>
        </is>
      </c>
      <c r="F13" s="42" t="inlineStr">
        <is>
          <t>Ignacio Canelo</t>
        </is>
      </c>
      <c r="G13" s="45" t="n"/>
      <c r="H13" s="44" t="inlineStr">
        <is>
          <t>Carlos de Lucca</t>
        </is>
      </c>
      <c r="I13" s="45" t="n"/>
      <c r="J13" s="44" t="inlineStr">
        <is>
          <t>Carlos de Lucca</t>
        </is>
      </c>
      <c r="K13" s="45" t="n"/>
      <c r="L13" s="42" t="inlineStr">
        <is>
          <t>Ignacio Canelo</t>
        </is>
      </c>
      <c r="M13" s="42" t="n"/>
      <c r="N13" s="42" t="inlineStr">
        <is>
          <t>Ignacio Canelo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2" t="inlineStr">
        <is>
          <t>Natasha Tem Tem</t>
        </is>
      </c>
      <c r="C14" s="66" t="inlineStr">
        <is>
          <t>Georgia Rosa M.</t>
        </is>
      </c>
      <c r="D14" s="62" t="inlineStr">
        <is>
          <t>Natasha Tem Tem</t>
        </is>
      </c>
      <c r="E14" s="104" t="n"/>
      <c r="F14" s="62" t="inlineStr">
        <is>
          <t>Natasha Tem Tem</t>
        </is>
      </c>
      <c r="G14" s="62" t="n"/>
      <c r="H14" s="66" t="inlineStr">
        <is>
          <t>Georgia Rosa M.</t>
        </is>
      </c>
      <c r="I14" s="104" t="n"/>
      <c r="J14" s="62" t="inlineStr">
        <is>
          <t>Natasha Tem Tem</t>
        </is>
      </c>
      <c r="K14" s="104" t="n"/>
      <c r="L14" s="62" t="inlineStr">
        <is>
          <t>Natasha Tem Tem</t>
        </is>
      </c>
      <c r="M14" s="104" t="n"/>
      <c r="N14" s="66" t="inlineStr">
        <is>
          <t>Georgia Rosa M.</t>
        </is>
      </c>
      <c r="O14" s="66" t="n"/>
      <c r="P14" s="6" t="n"/>
      <c r="Q14" s="80" t="inlineStr">
        <is>
          <t>Georgia Rosa M.</t>
        </is>
      </c>
      <c r="R14" s="80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/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46195</v>
      </c>
      <c r="C3" s="146" t="n"/>
      <c r="D3" s="150" t="n">
        <v>46196</v>
      </c>
      <c r="E3" s="146" t="n"/>
      <c r="F3" s="150" t="n">
        <v>46197</v>
      </c>
      <c r="G3" s="146" t="n"/>
      <c r="H3" s="150" t="n">
        <v>46198</v>
      </c>
      <c r="I3" s="146" t="n"/>
      <c r="J3" s="150" t="n">
        <v>46199</v>
      </c>
      <c r="K3" s="146" t="n"/>
      <c r="L3" s="150" t="n">
        <v>46200</v>
      </c>
      <c r="M3" s="146" t="n"/>
      <c r="N3" s="150" t="n">
        <v>46201</v>
      </c>
      <c r="O3" s="146" t="n"/>
      <c r="P3" s="6" t="n"/>
      <c r="Q3" s="1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4" t="inlineStr">
        <is>
          <t>Carolinne Pacheco</t>
        </is>
      </c>
      <c r="C5" s="38" t="inlineStr">
        <is>
          <t>Oliver Melo</t>
        </is>
      </c>
      <c r="D5" s="24" t="inlineStr">
        <is>
          <t>Carolinne Pacheco</t>
        </is>
      </c>
      <c r="E5" s="26" t="n"/>
      <c r="F5" s="26" t="inlineStr">
        <is>
          <t>Léo Grimaldi</t>
        </is>
      </c>
      <c r="G5" s="38" t="n"/>
      <c r="H5" s="24" t="inlineStr">
        <is>
          <t>Carolinne Pacheco</t>
        </is>
      </c>
      <c r="I5" s="38" t="n"/>
      <c r="J5" s="24" t="inlineStr">
        <is>
          <t>Carolinne Pacheco</t>
        </is>
      </c>
      <c r="K5" s="38" t="inlineStr">
        <is>
          <t>Oliver Melo</t>
        </is>
      </c>
      <c r="L5" s="24" t="inlineStr">
        <is>
          <t>Carolinne Pacheco</t>
        </is>
      </c>
      <c r="M5" s="31" t="n"/>
      <c r="N5" s="26" t="inlineStr">
        <is>
          <t>Léo Grimaldi</t>
        </is>
      </c>
      <c r="O5" s="35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39" t="inlineStr">
        <is>
          <t>Gabriela Storini</t>
        </is>
      </c>
      <c r="C6" s="44" t="n"/>
      <c r="D6" s="42" t="inlineStr">
        <is>
          <t>Ignacio Canelo</t>
        </is>
      </c>
      <c r="E6" s="44" t="n"/>
      <c r="F6" s="39" t="inlineStr">
        <is>
          <t>Gabriela Storini</t>
        </is>
      </c>
      <c r="G6" s="44" t="inlineStr">
        <is>
          <t>Carlos de Lucca</t>
        </is>
      </c>
      <c r="H6" s="39" t="inlineStr">
        <is>
          <t>Gabriela Storini</t>
        </is>
      </c>
      <c r="I6" s="44" t="n"/>
      <c r="J6" s="39" t="inlineStr">
        <is>
          <t>Gabriela Storini</t>
        </is>
      </c>
      <c r="K6" s="44" t="n"/>
      <c r="L6" s="42" t="inlineStr">
        <is>
          <t>Ignacio Canelo</t>
        </is>
      </c>
      <c r="M6" s="44" t="n"/>
      <c r="N6" s="39" t="inlineStr">
        <is>
          <t>Gabriela Storini</t>
        </is>
      </c>
      <c r="O6" s="44" t="inlineStr">
        <is>
          <t>Carlos de Lucca</t>
        </is>
      </c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2" t="inlineStr">
        <is>
          <t>Natasha Tem Tem</t>
        </is>
      </c>
      <c r="C7" s="66" t="n"/>
      <c r="D7" s="65" t="inlineStr">
        <is>
          <t>Pedro Ribeiro</t>
        </is>
      </c>
      <c r="E7" s="66" t="inlineStr">
        <is>
          <t>Georgia Rosa M.</t>
        </is>
      </c>
      <c r="F7" s="65" t="inlineStr">
        <is>
          <t>Pedro Ribeiro</t>
        </is>
      </c>
      <c r="G7" s="66" t="n"/>
      <c r="H7" s="65" t="inlineStr">
        <is>
          <t>Pedro Ribeiro</t>
        </is>
      </c>
      <c r="I7" s="66" t="n"/>
      <c r="J7" s="62" t="inlineStr">
        <is>
          <t>Natasha Tem Tem</t>
        </is>
      </c>
      <c r="K7" s="66" t="n"/>
      <c r="L7" s="65" t="inlineStr">
        <is>
          <t>Pedro Ribeiro</t>
        </is>
      </c>
      <c r="M7" s="66" t="inlineStr">
        <is>
          <t>Georgia Rosa M.</t>
        </is>
      </c>
      <c r="N7" s="65" t="inlineStr">
        <is>
          <t>Pedro Ribeiro</t>
        </is>
      </c>
      <c r="O7" s="66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Vanessa Violet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26" t="inlineStr">
        <is>
          <t>Léo Grimaldi</t>
        </is>
      </c>
      <c r="C12" s="45" t="n"/>
      <c r="D12" s="26" t="inlineStr">
        <is>
          <t>Léo Grimaldi</t>
        </is>
      </c>
      <c r="E12" s="45" t="n"/>
      <c r="F12" s="38" t="inlineStr">
        <is>
          <t>Oliver Melo</t>
        </is>
      </c>
      <c r="G12" s="38" t="n"/>
      <c r="H12" s="38" t="inlineStr">
        <is>
          <t>Oliver Melo</t>
        </is>
      </c>
      <c r="I12" s="45" t="n"/>
      <c r="J12" s="26" t="inlineStr">
        <is>
          <t>Léo Grimaldi</t>
        </is>
      </c>
      <c r="K12" s="38" t="n"/>
      <c r="L12" s="26" t="inlineStr">
        <is>
          <t>Léo Grimaldi</t>
        </is>
      </c>
      <c r="M12" s="38" t="n"/>
      <c r="N12" s="38" t="inlineStr">
        <is>
          <t>Oliver Melo</t>
        </is>
      </c>
      <c r="O12" s="38" t="n"/>
      <c r="P12" s="6" t="n"/>
      <c r="Q12" s="75" t="inlineStr">
        <is>
          <t>Natasha Tem Tem</t>
        </is>
      </c>
      <c r="R12" s="75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4" t="inlineStr">
        <is>
          <t>Carlos de Lucca</t>
        </is>
      </c>
      <c r="C13" s="45" t="n"/>
      <c r="D13" s="44" t="inlineStr">
        <is>
          <t>Carlos de Lucca</t>
        </is>
      </c>
      <c r="E13" s="44" t="n"/>
      <c r="F13" s="42" t="inlineStr">
        <is>
          <t>Ignacio Canelo</t>
        </is>
      </c>
      <c r="G13" s="45" t="n"/>
      <c r="H13" s="42" t="inlineStr">
        <is>
          <t>Ignacio Canelo</t>
        </is>
      </c>
      <c r="I13" s="45" t="n"/>
      <c r="J13" s="44" t="inlineStr">
        <is>
          <t>Carlos de Lucca</t>
        </is>
      </c>
      <c r="K13" s="45" t="n"/>
      <c r="L13" s="44" t="inlineStr">
        <is>
          <t>Carlos de Lucca</t>
        </is>
      </c>
      <c r="M13" s="42" t="n"/>
      <c r="N13" s="42" t="inlineStr">
        <is>
          <t>Ignacio Canelo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6" t="inlineStr">
        <is>
          <t>Georgia Rosa M.</t>
        </is>
      </c>
      <c r="C14" s="66" t="n"/>
      <c r="D14" s="62" t="inlineStr">
        <is>
          <t>Natasha Tem Tem</t>
        </is>
      </c>
      <c r="E14" s="104" t="n"/>
      <c r="F14" s="62" t="inlineStr">
        <is>
          <t>Natasha Tem Tem</t>
        </is>
      </c>
      <c r="G14" s="62" t="n"/>
      <c r="H14" s="66" t="inlineStr">
        <is>
          <t>Georgia Rosa M.</t>
        </is>
      </c>
      <c r="I14" s="104" t="n"/>
      <c r="J14" s="66" t="inlineStr">
        <is>
          <t>Georgia Rosa M.</t>
        </is>
      </c>
      <c r="K14" s="104" t="n"/>
      <c r="L14" s="62" t="inlineStr">
        <is>
          <t>Natasha Tem Tem</t>
        </is>
      </c>
      <c r="M14" s="104" t="n"/>
      <c r="N14" s="62" t="inlineStr">
        <is>
          <t>Natasha Tem Tem</t>
        </is>
      </c>
      <c r="O14" s="66" t="n"/>
      <c r="P14" s="6" t="n"/>
      <c r="Q14" s="80" t="inlineStr">
        <is>
          <t>Georgia Rosa M.</t>
        </is>
      </c>
      <c r="R14" s="80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/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inlineStr">
        <is>
          <t>06/30</t>
        </is>
      </c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46202</v>
      </c>
      <c r="C3" s="146" t="n"/>
      <c r="D3" s="150" t="n">
        <v>46203</v>
      </c>
      <c r="E3" s="146" t="n"/>
      <c r="F3" s="150" t="n">
        <v>46204</v>
      </c>
      <c r="G3" s="146" t="n"/>
      <c r="H3" s="150" t="n">
        <v>46205</v>
      </c>
      <c r="I3" s="146" t="n"/>
      <c r="J3" s="150" t="n">
        <v>46206</v>
      </c>
      <c r="K3" s="146" t="n"/>
      <c r="L3" s="150" t="n">
        <v>46207</v>
      </c>
      <c r="M3" s="146" t="n"/>
      <c r="N3" s="150" t="n">
        <v>46208</v>
      </c>
      <c r="O3" s="146" t="n"/>
      <c r="P3" s="6" t="n"/>
      <c r="Q3" s="15" t="inlineStr">
        <is>
          <t>Pedro Ribeiro</t>
        </is>
      </c>
      <c r="R3" s="15" t="inlineStr">
        <is>
          <t>Gran Primaris | T6/T1</t>
        </is>
      </c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4" t="inlineStr">
        <is>
          <t>Carolinne Pacheco</t>
        </is>
      </c>
      <c r="C5" s="38" t="n"/>
      <c r="D5" s="24" t="inlineStr">
        <is>
          <t>Carolinne Pacheco</t>
        </is>
      </c>
      <c r="E5" s="38" t="inlineStr">
        <is>
          <t>Oliver Melo</t>
        </is>
      </c>
      <c r="F5" s="24" t="inlineStr">
        <is>
          <t>Carolinne Pacheco</t>
        </is>
      </c>
      <c r="G5" s="38" t="n"/>
      <c r="H5" s="26" t="inlineStr">
        <is>
          <t>Léo Grimaldi</t>
        </is>
      </c>
      <c r="I5" s="38" t="n"/>
      <c r="J5" s="24" t="inlineStr">
        <is>
          <t>Carolinne Pacheco</t>
        </is>
      </c>
      <c r="K5" s="38" t="n"/>
      <c r="L5" s="24" t="inlineStr">
        <is>
          <t>Carolinne Pacheco</t>
        </is>
      </c>
      <c r="M5" s="38" t="n"/>
      <c r="N5" s="24" t="inlineStr">
        <is>
          <t>Carolinne Pacheco</t>
        </is>
      </c>
      <c r="O5" s="35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39" t="inlineStr">
        <is>
          <t>Gabriela Storini</t>
        </is>
      </c>
      <c r="C6" s="44" t="inlineStr">
        <is>
          <t>Carlos de Lucca</t>
        </is>
      </c>
      <c r="D6" s="39" t="inlineStr">
        <is>
          <t>Gabriela Storini</t>
        </is>
      </c>
      <c r="E6" s="44" t="n"/>
      <c r="F6" s="42" t="inlineStr">
        <is>
          <t>Ignacio Canelo</t>
        </is>
      </c>
      <c r="G6" s="44" t="n"/>
      <c r="H6" s="39" t="inlineStr">
        <is>
          <t>Gabriela Storini</t>
        </is>
      </c>
      <c r="I6" s="44" t="n"/>
      <c r="J6" s="39" t="inlineStr">
        <is>
          <t>Gabriela Storini</t>
        </is>
      </c>
      <c r="K6" s="44" t="inlineStr">
        <is>
          <t>Carlos de Lucca</t>
        </is>
      </c>
      <c r="L6" s="44" t="inlineStr">
        <is>
          <t>Carlos de Lucca</t>
        </is>
      </c>
      <c r="M6" s="44" t="n"/>
      <c r="N6" s="44" t="inlineStr">
        <is>
          <t>Carlos de Lucca</t>
        </is>
      </c>
      <c r="O6" s="44" t="n"/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5" t="inlineStr">
        <is>
          <t>Pedro Ribeiro</t>
        </is>
      </c>
      <c r="C7" s="66" t="n"/>
      <c r="D7" s="62" t="inlineStr">
        <is>
          <t>Natasha Tem Tem</t>
        </is>
      </c>
      <c r="E7" s="66" t="n"/>
      <c r="F7" s="65" t="inlineStr">
        <is>
          <t>Pedro Ribeiro</t>
        </is>
      </c>
      <c r="G7" s="66" t="inlineStr">
        <is>
          <t>Georgia Rosa M.</t>
        </is>
      </c>
      <c r="H7" s="65" t="inlineStr">
        <is>
          <t>Pedro Ribeiro</t>
        </is>
      </c>
      <c r="I7" s="66" t="n"/>
      <c r="J7" s="66" t="inlineStr">
        <is>
          <t>Georgia Rosa M.</t>
        </is>
      </c>
      <c r="K7" s="66" t="n"/>
      <c r="L7" s="66" t="inlineStr">
        <is>
          <t>Georgia Rosa M.</t>
        </is>
      </c>
      <c r="M7" s="66" t="n"/>
      <c r="N7" s="66" t="inlineStr">
        <is>
          <t>Georgia Rosa M.</t>
        </is>
      </c>
      <c r="O7" s="66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Vanessa Violet 057m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38" t="inlineStr">
        <is>
          <t>Oliver Melo</t>
        </is>
      </c>
      <c r="C12" s="45" t="n"/>
      <c r="D12" s="26" t="inlineStr">
        <is>
          <t>Léo Grimaldi</t>
        </is>
      </c>
      <c r="E12" s="45" t="n"/>
      <c r="F12" s="26" t="inlineStr">
        <is>
          <t>Léo Grimaldi</t>
        </is>
      </c>
      <c r="G12" s="38" t="n"/>
      <c r="H12" s="38" t="inlineStr">
        <is>
          <t>Oliver Melo</t>
        </is>
      </c>
      <c r="I12" s="45" t="n"/>
      <c r="J12" s="38" t="inlineStr">
        <is>
          <t>Oliver Melo</t>
        </is>
      </c>
      <c r="K12" s="38" t="n"/>
      <c r="L12" s="26" t="inlineStr">
        <is>
          <t>Léo Grimaldi</t>
        </is>
      </c>
      <c r="M12" s="38" t="n"/>
      <c r="N12" s="26" t="inlineStr">
        <is>
          <t>Léo Grimaldi</t>
        </is>
      </c>
      <c r="O12" s="38" t="n"/>
      <c r="P12" s="6" t="n"/>
      <c r="Q12" s="75" t="inlineStr">
        <is>
          <t>Natasha Tem Tem</t>
        </is>
      </c>
      <c r="R12" s="75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2" t="inlineStr">
        <is>
          <t>Ignacio Canelo</t>
        </is>
      </c>
      <c r="C13" s="45" t="n"/>
      <c r="D13" s="44" t="inlineStr">
        <is>
          <t>Carlos de Lucca</t>
        </is>
      </c>
      <c r="E13" s="44" t="n"/>
      <c r="F13" s="44" t="inlineStr">
        <is>
          <t>Carlos de Lucca</t>
        </is>
      </c>
      <c r="G13" s="45" t="n"/>
      <c r="H13" s="42" t="inlineStr">
        <is>
          <t>Ignacio Canelo</t>
        </is>
      </c>
      <c r="I13" s="45" t="n"/>
      <c r="J13" s="42" t="inlineStr">
        <is>
          <t>Ignacio Canelo</t>
        </is>
      </c>
      <c r="K13" s="45" t="n"/>
      <c r="L13" s="62" t="inlineStr">
        <is>
          <t>Natasha Tem Tem</t>
        </is>
      </c>
      <c r="M13" s="42" t="n"/>
      <c r="N13" s="33" t="inlineStr">
        <is>
          <t>VAZIO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6" t="inlineStr">
        <is>
          <t>Georgia Rosa M.</t>
        </is>
      </c>
      <c r="C14" s="66" t="n"/>
      <c r="D14" s="66" t="inlineStr">
        <is>
          <t>Georgia Rosa M.</t>
        </is>
      </c>
      <c r="E14" s="104" t="n"/>
      <c r="F14" s="62" t="inlineStr">
        <is>
          <t>Natasha Tem Tem</t>
        </is>
      </c>
      <c r="G14" s="62" t="n"/>
      <c r="H14" s="62" t="inlineStr">
        <is>
          <t>Natasha Tem Tem</t>
        </is>
      </c>
      <c r="I14" s="104" t="n"/>
      <c r="J14" s="62" t="inlineStr">
        <is>
          <t>Natasha Tem Tem</t>
        </is>
      </c>
      <c r="K14" s="65" t="inlineStr">
        <is>
          <t>Pedro Ribeiro</t>
        </is>
      </c>
      <c r="L14" s="38" t="inlineStr">
        <is>
          <t>Oliver Melo</t>
        </is>
      </c>
      <c r="M14" s="104" t="n"/>
      <c r="N14" s="105" t="inlineStr">
        <is>
          <t>Michelle Flores</t>
        </is>
      </c>
      <c r="O14" s="66" t="n"/>
      <c r="P14" s="6" t="n"/>
      <c r="Q14" s="80" t="inlineStr">
        <is>
          <t>Georgia Rosa M.</t>
        </is>
      </c>
      <c r="R14" s="80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>Issy Black 243m +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>
        <v>46211</v>
      </c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46209</v>
      </c>
      <c r="C3" s="146" t="n"/>
      <c r="D3" s="153" t="n">
        <v>46210</v>
      </c>
      <c r="E3" s="146" t="n"/>
      <c r="F3" s="153" t="n">
        <v>46211</v>
      </c>
      <c r="G3" s="146" t="n"/>
      <c r="H3" s="153" t="n">
        <v>46212</v>
      </c>
      <c r="I3" s="146" t="n"/>
      <c r="J3" s="153" t="n">
        <v>46213</v>
      </c>
      <c r="K3" s="146" t="n"/>
      <c r="L3" s="153" t="n">
        <v>46214</v>
      </c>
      <c r="M3" s="146" t="n"/>
      <c r="N3" s="153" t="n">
        <v>46215</v>
      </c>
      <c r="O3" s="146" t="n"/>
      <c r="P3" s="6" t="n"/>
      <c r="Q3" s="75" t="inlineStr">
        <is>
          <t>Natasha Tem Tem</t>
        </is>
      </c>
      <c r="R3" s="15" t="inlineStr">
        <is>
          <t>Primaris | T4T5</t>
        </is>
      </c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Léo Grimaldi</t>
        </is>
      </c>
      <c r="C5" s="109" t="n"/>
      <c r="D5" s="110" t="inlineStr">
        <is>
          <t>Carolinne Pacheco</t>
        </is>
      </c>
      <c r="E5" s="109" t="n"/>
      <c r="F5" s="110" t="inlineStr">
        <is>
          <t>Carolinne Pacheco</t>
        </is>
      </c>
      <c r="G5" s="109" t="inlineStr">
        <is>
          <t>Oliver Melo</t>
        </is>
      </c>
      <c r="H5" s="110" t="inlineStr">
        <is>
          <t>Carolinne Pacheco</t>
        </is>
      </c>
      <c r="I5" s="109" t="n"/>
      <c r="J5" s="108" t="inlineStr">
        <is>
          <t>Léo Grimaldi</t>
        </is>
      </c>
      <c r="K5" s="109" t="n"/>
      <c r="L5" s="110" t="inlineStr">
        <is>
          <t>Carolinne Pacheco</t>
        </is>
      </c>
      <c r="M5" s="109" t="n"/>
      <c r="N5" s="110" t="inlineStr">
        <is>
          <t>Carolinne Pacheco</t>
        </is>
      </c>
      <c r="O5" s="109" t="inlineStr">
        <is>
          <t>Oliver Melo</t>
        </is>
      </c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Ignacio Canelo</t>
        </is>
      </c>
      <c r="C6" s="112" t="n"/>
      <c r="D6" s="113" t="inlineStr">
        <is>
          <t>Gabriela Storini</t>
        </is>
      </c>
      <c r="E6" s="112" t="n"/>
      <c r="F6" s="113" t="inlineStr">
        <is>
          <t>Gabriela Storini</t>
        </is>
      </c>
      <c r="G6" s="112" t="n"/>
      <c r="H6" s="113" t="inlineStr">
        <is>
          <t>Gabriela Storini</t>
        </is>
      </c>
      <c r="I6" s="112" t="inlineStr">
        <is>
          <t>Carlos de Lucca</t>
        </is>
      </c>
      <c r="J6" s="111" t="inlineStr">
        <is>
          <t>Ignacio Canelo</t>
        </is>
      </c>
      <c r="K6" s="112" t="n"/>
      <c r="L6" s="113" t="inlineStr">
        <is>
          <t>Gabriela Storini</t>
        </is>
      </c>
      <c r="M6" s="112" t="n"/>
      <c r="N6" s="113" t="inlineStr">
        <is>
          <t>Gabriela Storini</t>
        </is>
      </c>
      <c r="O6" s="112" t="n"/>
      <c r="P6" s="6" t="n"/>
      <c r="Q6" s="110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Pedro Ribeiro</t>
        </is>
      </c>
      <c r="C7" s="115" t="n"/>
      <c r="D7" s="116" t="inlineStr">
        <is>
          <t>Georgia Rosa M.</t>
        </is>
      </c>
      <c r="E7" s="115" t="n"/>
      <c r="F7" s="116" t="inlineStr">
        <is>
          <t>Georgia Rosa M.</t>
        </is>
      </c>
      <c r="G7" s="115" t="n"/>
      <c r="H7" s="114" t="inlineStr">
        <is>
          <t>Pedro Ribeiro</t>
        </is>
      </c>
      <c r="I7" s="115" t="n"/>
      <c r="J7" s="114" t="inlineStr">
        <is>
          <t>Pedro Ribeiro</t>
        </is>
      </c>
      <c r="K7" s="115" t="n"/>
      <c r="L7" s="114" t="inlineStr">
        <is>
          <t>Natasha Tem Tem</t>
        </is>
      </c>
      <c r="M7" s="115" t="n"/>
      <c r="N7" s="117" t="inlineStr">
        <is>
          <t>Natasha Tem Tem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Vanessa Violet 057m + Desiree 018m/018s/018t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Oliver Melo</t>
        </is>
      </c>
      <c r="C12" s="119" t="n"/>
      <c r="D12" s="108" t="inlineStr">
        <is>
          <t>Oliver Melo</t>
        </is>
      </c>
      <c r="E12" s="119" t="n"/>
      <c r="F12" s="108" t="inlineStr">
        <is>
          <t>Léo Grimaldi</t>
        </is>
      </c>
      <c r="G12" s="109" t="n"/>
      <c r="H12" s="109" t="inlineStr">
        <is>
          <t>Léo Grimaldi</t>
        </is>
      </c>
      <c r="I12" s="119" t="n"/>
      <c r="J12" s="109" t="inlineStr">
        <is>
          <t>Oliver Melo</t>
        </is>
      </c>
      <c r="K12" s="109" t="n"/>
      <c r="L12" s="108" t="inlineStr">
        <is>
          <t>Oliver Melo</t>
        </is>
      </c>
      <c r="M12" s="109" t="n"/>
      <c r="N12" s="108" t="inlineStr">
        <is>
          <t>Léo Grimaldi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Carlos de Lucca</t>
        </is>
      </c>
      <c r="C13" s="119" t="n"/>
      <c r="D13" s="111" t="inlineStr">
        <is>
          <t>Ignacio Canelo</t>
        </is>
      </c>
      <c r="E13" s="112" t="n"/>
      <c r="F13" s="111" t="inlineStr">
        <is>
          <t>Carlos de Lucca</t>
        </is>
      </c>
      <c r="G13" s="119" t="n"/>
      <c r="H13" s="112" t="inlineStr">
        <is>
          <t>Ignacio Canelo</t>
        </is>
      </c>
      <c r="I13" s="119" t="n"/>
      <c r="J13" s="112" t="inlineStr">
        <is>
          <t>Carlos de Lucca</t>
        </is>
      </c>
      <c r="K13" s="119" t="n"/>
      <c r="L13" s="111" t="inlineStr">
        <is>
          <t>Ignacio Canelo</t>
        </is>
      </c>
      <c r="M13" s="111" t="n"/>
      <c r="N13" s="111" t="inlineStr">
        <is>
          <t>Carlos de Lucca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Natasha Tem Tem</t>
        </is>
      </c>
      <c r="C14" s="115" t="n"/>
      <c r="D14" s="117" t="inlineStr">
        <is>
          <t>Natasha Tem Tem</t>
        </is>
      </c>
      <c r="E14" s="122" t="n"/>
      <c r="F14" s="116" t="inlineStr">
        <is>
          <t>Julian G</t>
        </is>
      </c>
      <c r="G14" s="123" t="n"/>
      <c r="H14" s="116" t="inlineStr">
        <is>
          <t>Georgia Rosa M.</t>
        </is>
      </c>
      <c r="I14" s="124" t="n"/>
      <c r="J14" s="117" t="inlineStr">
        <is>
          <t>Natasha Tem Tem</t>
        </is>
      </c>
      <c r="K14" s="124" t="n"/>
      <c r="L14" s="117" t="inlineStr">
        <is>
          <t>Georgia Rosa M.</t>
        </is>
      </c>
      <c r="M14" s="124" t="n"/>
      <c r="N14" s="116" t="inlineStr">
        <is>
          <t>Georgia Rosa M.</t>
        </is>
      </c>
      <c r="O14" s="115" t="n"/>
      <c r="P14" s="6" t="n"/>
      <c r="Q14" s="13" t="inlineStr">
        <is>
          <t>Georgia Rosa M.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>Issy Black 243m +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46216</v>
      </c>
      <c r="C3" s="146" t="n"/>
      <c r="D3" s="153" t="n">
        <v>46217</v>
      </c>
      <c r="E3" s="146" t="n"/>
      <c r="F3" s="153" t="n">
        <v>46218</v>
      </c>
      <c r="G3" s="146" t="n"/>
      <c r="H3" s="153" t="n">
        <v>46219</v>
      </c>
      <c r="I3" s="146" t="n"/>
      <c r="J3" s="153" t="n">
        <v>46220</v>
      </c>
      <c r="K3" s="146" t="n"/>
      <c r="L3" s="153" t="n">
        <v>46221</v>
      </c>
      <c r="M3" s="146" t="n"/>
      <c r="N3" s="153" t="n">
        <v>46222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Carolinne P.</t>
        </is>
      </c>
      <c r="C5" s="109" t="n"/>
      <c r="D5" s="110" t="inlineStr">
        <is>
          <t>Léo Grimaldi</t>
        </is>
      </c>
      <c r="E5" s="109" t="n"/>
      <c r="F5" s="110" t="inlineStr">
        <is>
          <t>Carolinne P.</t>
        </is>
      </c>
      <c r="G5" s="109" t="n"/>
      <c r="H5" s="110" t="inlineStr">
        <is>
          <t>Carolinne P.</t>
        </is>
      </c>
      <c r="I5" s="109" t="inlineStr">
        <is>
          <t>Oliver Melo</t>
        </is>
      </c>
      <c r="J5" s="108" t="inlineStr">
        <is>
          <t>Carolinne P.</t>
        </is>
      </c>
      <c r="K5" s="109" t="n"/>
      <c r="L5" s="110" t="inlineStr">
        <is>
          <t>Léo Grimaldi</t>
        </is>
      </c>
      <c r="M5" s="109" t="n"/>
      <c r="N5" s="110" t="inlineStr">
        <is>
          <t>NPC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Gabriela Storini</t>
        </is>
      </c>
      <c r="C6" s="112" t="n"/>
      <c r="D6" s="113" t="inlineStr">
        <is>
          <t>Carlos de Lucca</t>
        </is>
      </c>
      <c r="E6" s="112" t="n"/>
      <c r="F6" s="113" t="inlineStr">
        <is>
          <t>Léo Grimaldi</t>
        </is>
      </c>
      <c r="G6" s="112" t="n"/>
      <c r="H6" s="113" t="inlineStr">
        <is>
          <t>Gabriela Storini</t>
        </is>
      </c>
      <c r="I6" s="112" t="n"/>
      <c r="J6" s="111" t="inlineStr">
        <is>
          <t>Gabriela Storini</t>
        </is>
      </c>
      <c r="K6" s="112" t="n"/>
      <c r="L6" s="113" t="inlineStr">
        <is>
          <t>Ignacio Canelo</t>
        </is>
      </c>
      <c r="M6" s="112" t="n"/>
      <c r="N6" s="113" t="inlineStr">
        <is>
          <t>Gabriela Storini</t>
        </is>
      </c>
      <c r="O6" s="112" t="n"/>
      <c r="P6" s="6" t="n"/>
      <c r="Q6" s="110" t="inlineStr">
        <is>
          <t>Carolinne Pacheco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Pedro Ribeiro</t>
        </is>
      </c>
      <c r="C7" s="115" t="n"/>
      <c r="D7" s="114" t="inlineStr">
        <is>
          <t>Michelle Flores</t>
        </is>
      </c>
      <c r="E7" s="115" t="n"/>
      <c r="F7" s="117" t="inlineStr">
        <is>
          <t>Natasha Tem Tem</t>
        </is>
      </c>
      <c r="G7" s="115" t="n"/>
      <c r="H7" s="114" t="inlineStr">
        <is>
          <t>Pedro Ribeiro</t>
        </is>
      </c>
      <c r="I7" s="115" t="n"/>
      <c r="J7" s="114" t="inlineStr">
        <is>
          <t>Pedro Ribeiro</t>
        </is>
      </c>
      <c r="K7" s="115" t="n"/>
      <c r="L7" s="114" t="inlineStr">
        <is>
          <t>Pedro Ribeiro</t>
        </is>
      </c>
      <c r="M7" s="115" t="n"/>
      <c r="N7" s="117" t="inlineStr">
        <is>
          <t>Natasha Tem Tem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Vanessa Violet 057m + Desiree 018m/018s/018t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Léo Grimaldi</t>
        </is>
      </c>
      <c r="C12" s="119" t="n"/>
      <c r="D12" s="108" t="inlineStr">
        <is>
          <t>Oliver Melo</t>
        </is>
      </c>
      <c r="E12" s="119" t="n"/>
      <c r="F12" s="108" t="inlineStr">
        <is>
          <t>Oliver Melo</t>
        </is>
      </c>
      <c r="G12" s="109" t="n"/>
      <c r="H12" s="109" t="inlineStr">
        <is>
          <t>Léo Grimaldi</t>
        </is>
      </c>
      <c r="I12" s="119" t="n"/>
      <c r="J12" s="109" t="inlineStr">
        <is>
          <t>Léo Grimaldi</t>
        </is>
      </c>
      <c r="K12" s="109" t="n"/>
      <c r="L12" s="108" t="inlineStr">
        <is>
          <t>Oliver Melo</t>
        </is>
      </c>
      <c r="M12" s="109" t="n"/>
      <c r="N12" s="108" t="inlineStr">
        <is>
          <t>NPC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Ignacio Canelo</t>
        </is>
      </c>
      <c r="C13" s="119" t="n"/>
      <c r="D13" s="111" t="inlineStr">
        <is>
          <t>VAZIO</t>
        </is>
      </c>
      <c r="E13" s="112" t="n"/>
      <c r="F13" s="111" t="inlineStr">
        <is>
          <t>Carlos de Lucca</t>
        </is>
      </c>
      <c r="G13" s="119" t="n"/>
      <c r="H13" s="112" t="inlineStr">
        <is>
          <t>Carlos de Lucca</t>
        </is>
      </c>
      <c r="I13" s="119" t="n"/>
      <c r="J13" s="112" t="inlineStr">
        <is>
          <t>Ignacio Canelo</t>
        </is>
      </c>
      <c r="K13" s="119" t="n"/>
      <c r="L13" s="111" t="inlineStr">
        <is>
          <t>Carlos de Lucca</t>
        </is>
      </c>
      <c r="M13" s="111" t="n"/>
      <c r="N13" s="111" t="inlineStr">
        <is>
          <t>Ignacio Canelo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Georgia Rosa M.</t>
        </is>
      </c>
      <c r="C14" s="115" t="n"/>
      <c r="D14" s="117" t="inlineStr">
        <is>
          <t xml:space="preserve">Joao P. Cateano </t>
        </is>
      </c>
      <c r="E14" s="122" t="n"/>
      <c r="F14" s="115" t="inlineStr">
        <is>
          <t>Georgia Rosa M.</t>
        </is>
      </c>
      <c r="G14" s="123" t="n"/>
      <c r="H14" s="115" t="inlineStr">
        <is>
          <t>Georgia Rosa M.</t>
        </is>
      </c>
      <c r="I14" s="124" t="n"/>
      <c r="J14" s="117" t="inlineStr">
        <is>
          <t>Georgia Rosa M.</t>
        </is>
      </c>
      <c r="K14" s="124" t="n"/>
      <c r="L14" s="117" t="inlineStr">
        <is>
          <t>Natasha Tem Tem</t>
        </is>
      </c>
      <c r="M14" s="124" t="n"/>
      <c r="N14" s="115" t="inlineStr">
        <is>
          <t>Georgia Rosa M.</t>
        </is>
      </c>
      <c r="O14" s="115" t="n"/>
      <c r="P14" s="6" t="n"/>
      <c r="Q14" s="80" t="inlineStr">
        <is>
          <t>Georgia Rosa M.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inlineStr">
        <is>
          <t>carol</t>
        </is>
      </c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 xml:space="preserve">                                                     Issy Black 243m + Joyce 231m                          |             Issy Black 243m + Desiree 018m/018s/018t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46223</v>
      </c>
      <c r="C3" s="146" t="n"/>
      <c r="D3" s="153" t="n">
        <v>46224</v>
      </c>
      <c r="E3" s="146" t="n"/>
      <c r="F3" s="153" t="n">
        <v>46225</v>
      </c>
      <c r="G3" s="146" t="n"/>
      <c r="H3" s="153" t="n">
        <v>46226</v>
      </c>
      <c r="I3" s="146" t="n"/>
      <c r="J3" s="153" t="n">
        <v>46227</v>
      </c>
      <c r="K3" s="146" t="n"/>
      <c r="L3" s="153" t="n">
        <v>46228</v>
      </c>
      <c r="M3" s="146" t="n"/>
      <c r="N3" s="153" t="n">
        <v>46229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inlineStr">
        <is>
          <t>Assistant</t>
        </is>
      </c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Léo Grimaldi</t>
        </is>
      </c>
      <c r="C5" s="109" t="n"/>
      <c r="D5" s="110" t="inlineStr">
        <is>
          <t>Léo Grimaldi</t>
        </is>
      </c>
      <c r="E5" s="109" t="n"/>
      <c r="F5" s="110" t="inlineStr">
        <is>
          <t>Léo Grimaldi</t>
        </is>
      </c>
      <c r="G5" s="109" t="n"/>
      <c r="H5" s="110" t="inlineStr">
        <is>
          <t>Léo Grimaldi</t>
        </is>
      </c>
      <c r="I5" s="109" t="n"/>
      <c r="J5" s="108" t="inlineStr">
        <is>
          <t>Léo Grimaldi</t>
        </is>
      </c>
      <c r="K5" s="109" t="n"/>
      <c r="L5" s="110" t="inlineStr">
        <is>
          <t>Léo Grimaldi</t>
        </is>
      </c>
      <c r="M5" s="109" t="n"/>
      <c r="N5" s="118" t="inlineStr">
        <is>
          <t>Buffer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Ignacio Canelo</t>
        </is>
      </c>
      <c r="C6" s="112" t="n"/>
      <c r="D6" s="113" t="inlineStr">
        <is>
          <t>Ignacio Canelo</t>
        </is>
      </c>
      <c r="E6" s="112" t="n"/>
      <c r="F6" s="113" t="inlineStr">
        <is>
          <t>Gabriela Storini</t>
        </is>
      </c>
      <c r="G6" s="112" t="n"/>
      <c r="H6" s="113" t="inlineStr">
        <is>
          <t>Gabriela Storini</t>
        </is>
      </c>
      <c r="I6" s="112" t="n"/>
      <c r="J6" s="111" t="inlineStr">
        <is>
          <t>Gabriela Storini</t>
        </is>
      </c>
      <c r="K6" s="112" t="n"/>
      <c r="L6" s="113" t="inlineStr">
        <is>
          <t>Ignacio Canelo</t>
        </is>
      </c>
      <c r="M6" s="112" t="n"/>
      <c r="N6" s="113" t="inlineStr">
        <is>
          <t>Gabriela Storini</t>
        </is>
      </c>
      <c r="O6" s="112" t="inlineStr">
        <is>
          <t>Carlos de Lucca</t>
        </is>
      </c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Georgia Rosa M.</t>
        </is>
      </c>
      <c r="C7" s="115" t="n"/>
      <c r="D7" s="114" t="inlineStr">
        <is>
          <t>Pedro Ribeiro</t>
        </is>
      </c>
      <c r="E7" s="115" t="inlineStr">
        <is>
          <t>Georgia Rosa M.</t>
        </is>
      </c>
      <c r="F7" s="116" t="inlineStr">
        <is>
          <t>Ana - NOVA</t>
        </is>
      </c>
      <c r="G7" s="115" t="n"/>
      <c r="H7" s="114" t="inlineStr">
        <is>
          <t>Pedro Ribeiro</t>
        </is>
      </c>
      <c r="I7" s="115" t="n"/>
      <c r="J7" s="114" t="inlineStr">
        <is>
          <t>Pedro Ribeiro</t>
        </is>
      </c>
      <c r="K7" s="115" t="n"/>
      <c r="L7" s="114" t="inlineStr">
        <is>
          <t>Natasha Tem Tem</t>
        </is>
      </c>
      <c r="M7" s="116" t="inlineStr">
        <is>
          <t>T1 JP Caetano</t>
        </is>
      </c>
      <c r="N7" s="117" t="inlineStr">
        <is>
          <t>Natasha Tem Tem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Vanessa Violet 057m + Desiree 018m/018s/018t                                   |                                           Joyce 231m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Oliver Melo</t>
        </is>
      </c>
      <c r="C12" s="119" t="n"/>
      <c r="D12" s="118" t="inlineStr">
        <is>
          <t>NPC</t>
        </is>
      </c>
      <c r="E12" s="119" t="n"/>
      <c r="F12" s="108" t="inlineStr">
        <is>
          <t>Oliver Melo</t>
        </is>
      </c>
      <c r="G12" s="109" t="n"/>
      <c r="H12" s="109" t="inlineStr">
        <is>
          <t>Oliver Melo</t>
        </is>
      </c>
      <c r="I12" s="119" t="n"/>
      <c r="J12" s="109" t="inlineStr">
        <is>
          <t>Oliver Melo</t>
        </is>
      </c>
      <c r="K12" s="109" t="n"/>
      <c r="L12" s="108" t="inlineStr">
        <is>
          <t>Oliver Melo</t>
        </is>
      </c>
      <c r="M12" s="109" t="n"/>
      <c r="N12" s="108" t="inlineStr">
        <is>
          <t>Oliver Melo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Carlos de Lucca</t>
        </is>
      </c>
      <c r="C13" s="119" t="n"/>
      <c r="D13" s="111" t="inlineStr">
        <is>
          <t>Carlos de Lucca</t>
        </is>
      </c>
      <c r="E13" s="112" t="n"/>
      <c r="F13" s="111" t="inlineStr">
        <is>
          <t>Carlos de Lucca</t>
        </is>
      </c>
      <c r="G13" s="119" t="n"/>
      <c r="H13" s="112" t="inlineStr">
        <is>
          <t>Ignacio Canelo</t>
        </is>
      </c>
      <c r="I13" s="119" t="n"/>
      <c r="J13" s="112" t="inlineStr">
        <is>
          <t>Carlos de Lucca</t>
        </is>
      </c>
      <c r="K13" s="119" t="n"/>
      <c r="L13" s="111" t="inlineStr">
        <is>
          <t>Carlos de Lucca</t>
        </is>
      </c>
      <c r="M13" s="111" t="n"/>
      <c r="N13" s="111" t="inlineStr">
        <is>
          <t>Ignacio Canelo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Natasha Tem Tem</t>
        </is>
      </c>
      <c r="C14" s="115" t="n"/>
      <c r="D14" s="117" t="inlineStr">
        <is>
          <t>Natasha Tem Tem</t>
        </is>
      </c>
      <c r="E14" s="122" t="n"/>
      <c r="F14" s="116" t="inlineStr">
        <is>
          <t>Buffer</t>
        </is>
      </c>
      <c r="G14" s="123" t="n"/>
      <c r="H14" s="115" t="inlineStr">
        <is>
          <t>Natasha Tem Tem</t>
        </is>
      </c>
      <c r="I14" s="124" t="n"/>
      <c r="J14" s="116" t="inlineStr">
        <is>
          <t>Joao P. Caetano</t>
        </is>
      </c>
      <c r="K14" s="124" t="n"/>
      <c r="L14" s="116" t="inlineStr">
        <is>
          <t>Joao P. Caetano</t>
        </is>
      </c>
      <c r="M14" s="124" t="n"/>
      <c r="N14" s="115" t="inlineStr">
        <is>
          <t>Natasha Tem Tem</t>
        </is>
      </c>
      <c r="O14" s="115" t="n"/>
      <c r="P14" s="6" t="n"/>
      <c r="Q14" s="80" t="inlineStr">
        <is>
          <t>Georgia Rosa M.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2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>Issy Black 243m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46230</v>
      </c>
      <c r="C3" s="146" t="n"/>
      <c r="D3" s="153" t="n">
        <v>46231</v>
      </c>
      <c r="E3" s="146" t="n"/>
      <c r="F3" s="153" t="n">
        <v>46232</v>
      </c>
      <c r="G3" s="146" t="n"/>
      <c r="H3" s="153" t="n">
        <v>46233</v>
      </c>
      <c r="I3" s="146" t="n"/>
      <c r="J3" s="153" t="n">
        <v>46234</v>
      </c>
      <c r="K3" s="146" t="n"/>
      <c r="L3" s="153" t="n">
        <v>46235</v>
      </c>
      <c r="M3" s="146" t="n"/>
      <c r="N3" s="153" t="n">
        <v>46236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Carolinne P.</t>
        </is>
      </c>
      <c r="C5" s="109" t="n"/>
      <c r="D5" s="110" t="inlineStr">
        <is>
          <t>Carolinne P.</t>
        </is>
      </c>
      <c r="E5" s="109" t="inlineStr">
        <is>
          <t>Oliver Melo</t>
        </is>
      </c>
      <c r="F5" s="110" t="inlineStr">
        <is>
          <t>Carolinne P.</t>
        </is>
      </c>
      <c r="G5" s="109" t="n"/>
      <c r="H5" s="110" t="inlineStr">
        <is>
          <t>Léo Grimaldi</t>
        </is>
      </c>
      <c r="I5" s="109" t="n"/>
      <c r="J5" s="108" t="inlineStr">
        <is>
          <t>Carolinne P.</t>
        </is>
      </c>
      <c r="K5" s="109" t="n"/>
      <c r="L5" s="110" t="inlineStr">
        <is>
          <t>Carolinne P.</t>
        </is>
      </c>
      <c r="M5" s="109" t="n"/>
      <c r="N5" s="110" t="inlineStr">
        <is>
          <t>Carolinne P.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Gabriela Storini</t>
        </is>
      </c>
      <c r="C6" s="112" t="n"/>
      <c r="D6" s="113" t="inlineStr">
        <is>
          <t>Gabriela Storini</t>
        </is>
      </c>
      <c r="E6" s="112" t="n"/>
      <c r="F6" s="113" t="inlineStr">
        <is>
          <t>Ignacio Canelo</t>
        </is>
      </c>
      <c r="G6" s="112" t="n"/>
      <c r="H6" s="113" t="inlineStr">
        <is>
          <t>Gabriela Storini</t>
        </is>
      </c>
      <c r="I6" s="112" t="inlineStr">
        <is>
          <t>Carlos de Lucca</t>
        </is>
      </c>
      <c r="J6" s="111" t="inlineStr">
        <is>
          <t>Gabriela Storini</t>
        </is>
      </c>
      <c r="K6" s="112" t="n"/>
      <c r="L6" s="113" t="inlineStr">
        <is>
          <t>Gabriela Storini</t>
        </is>
      </c>
      <c r="M6" s="112" t="inlineStr">
        <is>
          <t>Oliver Melo</t>
        </is>
      </c>
      <c r="N6" s="113" t="n"/>
      <c r="O6" s="112" t="n"/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6" t="inlineStr">
        <is>
          <t>Joao P. Caetano</t>
        </is>
      </c>
      <c r="C7" s="115" t="n"/>
      <c r="D7" s="114" t="inlineStr">
        <is>
          <t>Pedro Ribeiro</t>
        </is>
      </c>
      <c r="E7" s="115" t="n"/>
      <c r="F7" s="117" t="inlineStr">
        <is>
          <t>Pedro Ribeiro</t>
        </is>
      </c>
      <c r="G7" s="115" t="n"/>
      <c r="H7" s="114" t="inlineStr">
        <is>
          <t>Natasha Tem Tem</t>
        </is>
      </c>
      <c r="I7" s="115" t="n"/>
      <c r="J7" s="114" t="inlineStr">
        <is>
          <t>Pedro Ribeiro</t>
        </is>
      </c>
      <c r="K7" s="115" t="n"/>
      <c r="L7" s="114" t="inlineStr">
        <is>
          <t>Pedro Ribeiro</t>
        </is>
      </c>
      <c r="M7" s="115" t="n"/>
      <c r="N7" s="117" t="inlineStr">
        <is>
          <t>Pedro Ribeiro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 + Capri Cavanni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 t="n">
        <v>46230</v>
      </c>
      <c r="C10" s="146" t="n"/>
      <c r="D10" s="153" t="n">
        <v>46231</v>
      </c>
      <c r="E10" s="146" t="n"/>
      <c r="F10" s="153" t="n">
        <v>46232</v>
      </c>
      <c r="G10" s="146" t="n"/>
      <c r="H10" s="153" t="n">
        <v>46233</v>
      </c>
      <c r="I10" s="146" t="n"/>
      <c r="J10" s="153" t="n">
        <v>46234</v>
      </c>
      <c r="K10" s="146" t="n"/>
      <c r="L10" s="153" t="n">
        <v>46235</v>
      </c>
      <c r="M10" s="146" t="n"/>
      <c r="N10" s="153" t="n">
        <v>46236</v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Léo Grimaldi</t>
        </is>
      </c>
      <c r="C12" s="119" t="n"/>
      <c r="D12" s="108" t="inlineStr">
        <is>
          <t>Léo Grimaldi</t>
        </is>
      </c>
      <c r="E12" s="119" t="n"/>
      <c r="F12" s="108" t="inlineStr">
        <is>
          <t>Oliver Melo</t>
        </is>
      </c>
      <c r="G12" s="109" t="n"/>
      <c r="H12" s="109" t="inlineStr">
        <is>
          <t>Oliver Melo | J</t>
        </is>
      </c>
      <c r="I12" s="114" t="inlineStr">
        <is>
          <t>Pedro Ribeiro | C</t>
        </is>
      </c>
      <c r="J12" s="109" t="inlineStr">
        <is>
          <t>Léo Grimaldi</t>
        </is>
      </c>
      <c r="K12" s="109" t="n"/>
      <c r="L12" s="108" t="inlineStr">
        <is>
          <t>Léo Grimaldi</t>
        </is>
      </c>
      <c r="M12" s="109" t="n"/>
      <c r="N12" s="108" t="inlineStr">
        <is>
          <t>Oliver Melo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Carlos de Lucca</t>
        </is>
      </c>
      <c r="C13" s="119" t="n"/>
      <c r="D13" s="111" t="inlineStr">
        <is>
          <t>Carlos de Lucca</t>
        </is>
      </c>
      <c r="E13" s="112" t="n"/>
      <c r="F13" s="111" t="inlineStr">
        <is>
          <t>Carlos de Lucca</t>
        </is>
      </c>
      <c r="G13" s="119" t="n"/>
      <c r="H13" s="112" t="inlineStr">
        <is>
          <t>Ignacio Canelo</t>
        </is>
      </c>
      <c r="I13" s="119" t="n"/>
      <c r="J13" s="112" t="inlineStr">
        <is>
          <t>Ignacio Canelo</t>
        </is>
      </c>
      <c r="K13" s="119" t="n"/>
      <c r="L13" s="111" t="inlineStr">
        <is>
          <t>Ignacio Canelo</t>
        </is>
      </c>
      <c r="M13" s="111" t="n"/>
      <c r="N13" s="111" t="inlineStr">
        <is>
          <t>Carlos de Lucca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6" t="inlineStr">
        <is>
          <t>Joao P. Caetano</t>
        </is>
      </c>
      <c r="C14" s="116" t="inlineStr">
        <is>
          <t>Buffer na Capri</t>
        </is>
      </c>
      <c r="D14" s="117" t="inlineStr">
        <is>
          <t>Natasha Tem Tem</t>
        </is>
      </c>
      <c r="E14" s="122" t="n"/>
      <c r="F14" s="115" t="inlineStr">
        <is>
          <t>Carolinne P.</t>
        </is>
      </c>
      <c r="G14" s="123" t="n"/>
      <c r="H14" s="116" t="inlineStr">
        <is>
          <t>VAZIO</t>
        </is>
      </c>
      <c r="I14" s="124" t="n"/>
      <c r="J14" s="117" t="inlineStr">
        <is>
          <t>Natasha Tem Tem</t>
        </is>
      </c>
      <c r="K14" s="124" t="n"/>
      <c r="L14" s="117" t="inlineStr">
        <is>
          <t>Natasha Tem Tem</t>
        </is>
      </c>
      <c r="M14" s="124" t="n"/>
      <c r="N14" s="115" t="inlineStr">
        <is>
          <t>Natasha Tem Tem</t>
        </is>
      </c>
      <c r="O14" s="115" t="n"/>
      <c r="P14" s="6" t="n"/>
      <c r="Q14" s="80" t="n"/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3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 xml:space="preserve">Issy Black 243m 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46237</v>
      </c>
      <c r="C3" s="146" t="n"/>
      <c r="D3" s="153" t="n">
        <v>46238</v>
      </c>
      <c r="E3" s="146" t="n"/>
      <c r="F3" s="153" t="n">
        <v>46239</v>
      </c>
      <c r="G3" s="146" t="n"/>
      <c r="H3" s="153" t="n">
        <v>46240</v>
      </c>
      <c r="I3" s="146" t="n"/>
      <c r="J3" s="153" t="n">
        <v>46241</v>
      </c>
      <c r="K3" s="146" t="n"/>
      <c r="L3" s="153" t="n">
        <v>46242</v>
      </c>
      <c r="M3" s="146" t="n"/>
      <c r="N3" s="153" t="n">
        <v>46243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Léo Grimaldi</t>
        </is>
      </c>
      <c r="C5" s="109" t="n"/>
      <c r="D5" s="110" t="inlineStr">
        <is>
          <t>Carolinne P.</t>
        </is>
      </c>
      <c r="E5" s="109" t="n"/>
      <c r="F5" s="110" t="inlineStr">
        <is>
          <t>Carolinne P.</t>
        </is>
      </c>
      <c r="G5" s="109" t="inlineStr">
        <is>
          <t>Oliver Melo</t>
        </is>
      </c>
      <c r="H5" s="110" t="inlineStr">
        <is>
          <t>Carolinne P.</t>
        </is>
      </c>
      <c r="I5" s="109" t="n"/>
      <c r="J5" s="108" t="inlineStr">
        <is>
          <t>Léo Grimaldi</t>
        </is>
      </c>
      <c r="K5" s="109" t="n"/>
      <c r="L5" s="110" t="n"/>
      <c r="M5" s="109" t="n"/>
      <c r="N5" s="109" t="inlineStr">
        <is>
          <t>Oliver Melo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3" t="inlineStr">
        <is>
          <t>Gabriela Storini</t>
        </is>
      </c>
      <c r="C6" s="112" t="inlineStr">
        <is>
          <t>Carlos de Lucca</t>
        </is>
      </c>
      <c r="D6" s="113" t="inlineStr">
        <is>
          <t>Gabriela Storini</t>
        </is>
      </c>
      <c r="E6" s="112" t="n"/>
      <c r="F6" s="113" t="inlineStr">
        <is>
          <t>Gabriela Storini</t>
        </is>
      </c>
      <c r="G6" s="112" t="n"/>
      <c r="H6" s="111" t="inlineStr">
        <is>
          <t>Ignacio Canelo</t>
        </is>
      </c>
      <c r="I6" s="112" t="n"/>
      <c r="J6" s="113" t="inlineStr">
        <is>
          <t>Gabriela Storini</t>
        </is>
      </c>
      <c r="K6" s="112" t="inlineStr">
        <is>
          <t>Carlos de Lucca</t>
        </is>
      </c>
      <c r="L6" s="113" t="inlineStr">
        <is>
          <t>Gabriela Storini</t>
        </is>
      </c>
      <c r="M6" s="112" t="n"/>
      <c r="N6" s="113" t="inlineStr">
        <is>
          <t>Gabriela Storini</t>
        </is>
      </c>
      <c r="O6" s="112" t="n"/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7" t="inlineStr">
        <is>
          <t>Natasha Tem Tem</t>
        </is>
      </c>
      <c r="C7" s="115" t="inlineStr">
        <is>
          <t>Diogo Ciesielski</t>
        </is>
      </c>
      <c r="D7" s="114" t="inlineStr">
        <is>
          <t>Pedro Ribeiro</t>
        </is>
      </c>
      <c r="E7" s="115" t="n"/>
      <c r="F7" s="114" t="inlineStr">
        <is>
          <t>Pedro Ribeiro</t>
        </is>
      </c>
      <c r="G7" s="115" t="n"/>
      <c r="H7" s="114" t="inlineStr">
        <is>
          <t>Pedro Ribeiro</t>
        </is>
      </c>
      <c r="I7" s="115" t="n"/>
      <c r="J7" s="114" t="inlineStr">
        <is>
          <t>Pedro Ribeiro</t>
        </is>
      </c>
      <c r="K7" s="115" t="inlineStr">
        <is>
          <t>Diogo Ciesielski</t>
        </is>
      </c>
      <c r="L7" s="110" t="inlineStr">
        <is>
          <t>Carolinne P.</t>
        </is>
      </c>
      <c r="M7" s="115" t="n"/>
      <c r="N7" s="117" t="inlineStr">
        <is>
          <t>Natasha Tem Tem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 +  Capri Cavanni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Oliver Melo</t>
        </is>
      </c>
      <c r="C12" s="119" t="n"/>
      <c r="D12" s="108" t="inlineStr">
        <is>
          <t>Léo Grimaldi</t>
        </is>
      </c>
      <c r="E12" s="119" t="n"/>
      <c r="F12" s="108" t="inlineStr">
        <is>
          <t>Léo Grimaldi</t>
        </is>
      </c>
      <c r="G12" s="109" t="n"/>
      <c r="H12" s="109" t="inlineStr">
        <is>
          <t>Oliver Melo</t>
        </is>
      </c>
      <c r="I12" s="119" t="n"/>
      <c r="J12" s="109" t="inlineStr">
        <is>
          <t>Oliver Melo</t>
        </is>
      </c>
      <c r="K12" s="109" t="n"/>
      <c r="L12" s="108" t="inlineStr">
        <is>
          <t>Léo Grimaldi</t>
        </is>
      </c>
      <c r="M12" s="109" t="n"/>
      <c r="N12" s="108" t="inlineStr">
        <is>
          <t>Léo Grimaldi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1" t="inlineStr">
        <is>
          <t>Ignacio Canelo</t>
        </is>
      </c>
      <c r="C13" s="119" t="n"/>
      <c r="D13" s="111" t="inlineStr">
        <is>
          <t>Ignacio Canelo</t>
        </is>
      </c>
      <c r="E13" s="112" t="n"/>
      <c r="F13" s="112" t="inlineStr">
        <is>
          <t>Carlos de Lucca</t>
        </is>
      </c>
      <c r="G13" s="119" t="n"/>
      <c r="H13" s="112" t="inlineStr">
        <is>
          <t>Carlos de Lucca</t>
        </is>
      </c>
      <c r="I13" s="119" t="n"/>
      <c r="J13" s="111" t="inlineStr">
        <is>
          <t>Ignacio Canelo</t>
        </is>
      </c>
      <c r="K13" s="119" t="n"/>
      <c r="L13" s="111" t="inlineStr">
        <is>
          <t>Ignacio Canelo</t>
        </is>
      </c>
      <c r="M13" s="111" t="n"/>
      <c r="N13" s="112" t="inlineStr">
        <is>
          <t>Carlos de Lucca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Natasha Tem Tem</t>
        </is>
      </c>
      <c r="C14" s="115" t="inlineStr">
        <is>
          <t>Diogo Ciesielski</t>
        </is>
      </c>
      <c r="D14" s="117" t="inlineStr">
        <is>
          <t>Natasha Tem Tem</t>
        </is>
      </c>
      <c r="E14" s="122" t="inlineStr">
        <is>
          <t>Diogo Ciesielski</t>
        </is>
      </c>
      <c r="F14" s="115" t="inlineStr">
        <is>
          <t>Diogo Ciesielski</t>
        </is>
      </c>
      <c r="G14" s="123" t="n"/>
      <c r="H14" s="115" t="inlineStr">
        <is>
          <t>Diogo Ciesielski</t>
        </is>
      </c>
      <c r="I14" s="124" t="n"/>
      <c r="J14" s="117" t="inlineStr">
        <is>
          <t>Natasha Tem Tem</t>
        </is>
      </c>
      <c r="K14" s="124" t="n"/>
      <c r="L14" s="117" t="inlineStr">
        <is>
          <t>Natasha Tem Tem</t>
        </is>
      </c>
      <c r="M14" s="124" t="n"/>
      <c r="N14" s="115" t="inlineStr">
        <is>
          <t>Diogo Ciesielski</t>
        </is>
      </c>
      <c r="O14" s="115" t="n"/>
      <c r="P14" s="6" t="n"/>
      <c r="Q14" s="80" t="inlineStr">
        <is>
          <t>Diogo Ciesielski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4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 xml:space="preserve">Issy Black 243m 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46244</v>
      </c>
      <c r="C3" s="146" t="n"/>
      <c r="D3" s="153" t="n">
        <v>46245</v>
      </c>
      <c r="E3" s="146" t="n"/>
      <c r="F3" s="153" t="n">
        <v>46246</v>
      </c>
      <c r="G3" s="146" t="n"/>
      <c r="H3" s="153" t="n">
        <v>46247</v>
      </c>
      <c r="I3" s="146" t="n"/>
      <c r="J3" s="153" t="n">
        <v>46248</v>
      </c>
      <c r="K3" s="146" t="n"/>
      <c r="L3" s="153" t="n">
        <v>46249</v>
      </c>
      <c r="M3" s="146" t="n"/>
      <c r="N3" s="153" t="n">
        <v>46250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Carolinne P.</t>
        </is>
      </c>
      <c r="C5" s="109" t="n"/>
      <c r="D5" s="110" t="inlineStr">
        <is>
          <t>Léo Grimaldi</t>
        </is>
      </c>
      <c r="E5" s="109" t="n"/>
      <c r="F5" s="110" t="inlineStr">
        <is>
          <t>Carolinne P.</t>
        </is>
      </c>
      <c r="G5" s="109" t="n"/>
      <c r="H5" s="108" t="inlineStr">
        <is>
          <t>Carolinne P.</t>
        </is>
      </c>
      <c r="I5" s="109" t="inlineStr">
        <is>
          <t>Oliver Melo</t>
        </is>
      </c>
      <c r="J5" s="108" t="inlineStr">
        <is>
          <t>Carolinne P.</t>
        </is>
      </c>
      <c r="K5" s="109" t="n"/>
      <c r="L5" s="108" t="inlineStr">
        <is>
          <t>Léo Grimaldi</t>
        </is>
      </c>
      <c r="M5" s="109" t="n"/>
      <c r="N5" s="110" t="inlineStr">
        <is>
          <t>Carolinne P.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Ignacio Canelo</t>
        </is>
      </c>
      <c r="C6" s="112" t="n"/>
      <c r="D6" s="113" t="inlineStr">
        <is>
          <t>Gabriela Storini</t>
        </is>
      </c>
      <c r="E6" s="111" t="inlineStr">
        <is>
          <t>Carlos de Lucca</t>
        </is>
      </c>
      <c r="F6" s="113" t="inlineStr">
        <is>
          <t>Gabriela Storini</t>
        </is>
      </c>
      <c r="G6" s="112" t="n"/>
      <c r="H6" s="113" t="inlineStr">
        <is>
          <t>Gabriela Storini</t>
        </is>
      </c>
      <c r="I6" s="112" t="n"/>
      <c r="J6" s="113" t="inlineStr">
        <is>
          <t>Ignacio Canelo</t>
        </is>
      </c>
      <c r="K6" s="112" t="n"/>
      <c r="L6" s="113" t="inlineStr">
        <is>
          <t>Gabriela Storini</t>
        </is>
      </c>
      <c r="M6" s="112" t="inlineStr">
        <is>
          <t>Carlos de Lucca</t>
        </is>
      </c>
      <c r="N6" s="113" t="inlineStr">
        <is>
          <t>Gabriela Storini</t>
        </is>
      </c>
      <c r="O6" s="112" t="n"/>
      <c r="P6" s="6" t="n"/>
      <c r="Q6" s="126" t="inlineStr">
        <is>
          <t>Carolinne P.</t>
        </is>
      </c>
      <c r="R6" s="47" t="inlineStr">
        <is>
          <t>Secundus | T2/T3</t>
        </is>
      </c>
      <c r="S6" s="13">
        <f>COUNTIF($B$5:$O$14,Q6)</f>
        <v/>
      </c>
      <c r="T6" s="13">
        <f>COUNTIF(B:B,Q6)+COUNTIF(D:D,Q6)+COUNTIF(F:F,Q6)+COUNTIF(H:H,Q6)+COUNTIF(J:J,Q6)+COUNTIF(L:L,Q6)+COUNTIF(N:N,Q6)</f>
        <v/>
      </c>
      <c r="U6" s="13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Pedro Ribeiro</t>
        </is>
      </c>
      <c r="C7" s="115" t="n"/>
      <c r="D7" s="114" t="inlineStr">
        <is>
          <t>Pedro Ribeiro</t>
        </is>
      </c>
      <c r="E7" s="115" t="inlineStr">
        <is>
          <t>Diogo Ciesielski</t>
        </is>
      </c>
      <c r="F7" s="117" t="inlineStr">
        <is>
          <t>Pedro Ribeiro</t>
        </is>
      </c>
      <c r="G7" s="115" t="n"/>
      <c r="H7" s="114" t="inlineStr">
        <is>
          <t>Natasha Tem Tem</t>
        </is>
      </c>
      <c r="I7" s="115" t="n"/>
      <c r="J7" s="114" t="inlineStr">
        <is>
          <t>Pedro Ribeiro</t>
        </is>
      </c>
      <c r="K7" s="115" t="n"/>
      <c r="L7" s="117" t="inlineStr">
        <is>
          <t>Pedro Ribeiro</t>
        </is>
      </c>
      <c r="M7" s="115" t="inlineStr">
        <is>
          <t>Diogo Ciesielski</t>
        </is>
      </c>
      <c r="N7" s="117" t="inlineStr">
        <is>
          <t>Pedro Ribeiro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 +  Capri Cavanni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Oliver Melo</t>
        </is>
      </c>
      <c r="C12" s="119" t="n"/>
      <c r="D12" s="108" t="inlineStr">
        <is>
          <t>Oliver Melo</t>
        </is>
      </c>
      <c r="E12" s="119" t="n"/>
      <c r="F12" s="108" t="inlineStr">
        <is>
          <t>Léo Grimaldi</t>
        </is>
      </c>
      <c r="G12" s="109" t="n"/>
      <c r="H12" s="109" t="inlineStr">
        <is>
          <t>Léo Grimaldi</t>
        </is>
      </c>
      <c r="I12" s="119" t="n"/>
      <c r="J12" s="109" t="inlineStr">
        <is>
          <t>Oliver Melo</t>
        </is>
      </c>
      <c r="K12" s="109" t="n"/>
      <c r="L12" s="109" t="inlineStr">
        <is>
          <t>Oliver Melo</t>
        </is>
      </c>
      <c r="M12" s="109" t="n"/>
      <c r="N12" s="108" t="inlineStr">
        <is>
          <t>Léo Grimaldi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Carlos de Lucca</t>
        </is>
      </c>
      <c r="C13" s="119" t="n"/>
      <c r="D13" s="111" t="inlineStr">
        <is>
          <t>Ignacio Canelo</t>
        </is>
      </c>
      <c r="E13" s="112" t="n"/>
      <c r="F13" s="111" t="inlineStr">
        <is>
          <t>Ignacio Canelo</t>
        </is>
      </c>
      <c r="G13" s="119" t="n"/>
      <c r="H13" s="112" t="inlineStr">
        <is>
          <t>Carlos de Lucca</t>
        </is>
      </c>
      <c r="I13" s="119" t="n"/>
      <c r="J13" s="112" t="inlineStr">
        <is>
          <t>Carlos de Lucca</t>
        </is>
      </c>
      <c r="K13" s="119" t="n"/>
      <c r="L13" s="111" t="inlineStr">
        <is>
          <t>Ignacio Canelo</t>
        </is>
      </c>
      <c r="M13" s="111" t="n"/>
      <c r="N13" s="111" t="inlineStr">
        <is>
          <t>Ignacio Canelo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Diogo Ciesielski</t>
        </is>
      </c>
      <c r="C14" s="115" t="n"/>
      <c r="D14" s="117" t="inlineStr">
        <is>
          <t>Natasha Tem Tem</t>
        </is>
      </c>
      <c r="E14" s="122" t="n"/>
      <c r="F14" s="115" t="inlineStr">
        <is>
          <t>Natasha Tem Tem</t>
        </is>
      </c>
      <c r="G14" s="123" t="n"/>
      <c r="H14" s="115" t="inlineStr">
        <is>
          <t>Diogo Ciesielski</t>
        </is>
      </c>
      <c r="I14" s="124" t="n"/>
      <c r="J14" s="117" t="inlineStr">
        <is>
          <t>Diogo Ciesielski</t>
        </is>
      </c>
      <c r="K14" s="124" t="n"/>
      <c r="L14" s="115" t="inlineStr">
        <is>
          <t>Natasha Tem Tem</t>
        </is>
      </c>
      <c r="M14" s="124" t="n"/>
      <c r="N14" s="115" t="inlineStr">
        <is>
          <t>Natasha Tem Tem</t>
        </is>
      </c>
      <c r="O14" s="115" t="n"/>
      <c r="P14" s="6" t="n"/>
      <c r="Q14" s="80" t="inlineStr">
        <is>
          <t>Diogo Ciesielski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5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 xml:space="preserve">Issy Black 243m 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46251</v>
      </c>
      <c r="C3" s="146" t="n"/>
      <c r="D3" s="153" t="n">
        <v>46252</v>
      </c>
      <c r="E3" s="146" t="n"/>
      <c r="F3" s="153" t="n">
        <v>46253</v>
      </c>
      <c r="G3" s="146" t="n"/>
      <c r="H3" s="153" t="n">
        <v>46254</v>
      </c>
      <c r="I3" s="146" t="n"/>
      <c r="J3" s="153" t="n">
        <v>46255</v>
      </c>
      <c r="K3" s="146" t="n"/>
      <c r="L3" s="153" t="n">
        <v>46256</v>
      </c>
      <c r="M3" s="146" t="n"/>
      <c r="N3" s="153" t="n">
        <v>46257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Carolinne P. *</t>
        </is>
      </c>
      <c r="C5" s="109" t="inlineStr">
        <is>
          <t>Oliver Melo *</t>
        </is>
      </c>
      <c r="D5" s="110" t="inlineStr">
        <is>
          <t>Carolinne P.</t>
        </is>
      </c>
      <c r="E5" s="109" t="n"/>
      <c r="F5" s="110" t="inlineStr">
        <is>
          <t>Léo Grimaldi *</t>
        </is>
      </c>
      <c r="G5" s="109" t="inlineStr">
        <is>
          <t>*</t>
        </is>
      </c>
      <c r="H5" s="110" t="inlineStr">
        <is>
          <t>Carolinne P.</t>
        </is>
      </c>
      <c r="I5" s="109" t="n"/>
      <c r="J5" s="108" t="inlineStr">
        <is>
          <t>Carolinne P. *</t>
        </is>
      </c>
      <c r="K5" s="109" t="inlineStr">
        <is>
          <t>Oliver Melo *</t>
        </is>
      </c>
      <c r="L5" s="110" t="inlineStr">
        <is>
          <t>Carolinne P.</t>
        </is>
      </c>
      <c r="M5" s="109" t="n"/>
      <c r="N5" s="110" t="inlineStr">
        <is>
          <t>Léo Grimaldi *</t>
        </is>
      </c>
      <c r="O5" s="109" t="inlineStr">
        <is>
          <t>*</t>
        </is>
      </c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Gabriela Storini</t>
        </is>
      </c>
      <c r="C6" s="112" t="inlineStr">
        <is>
          <t>*</t>
        </is>
      </c>
      <c r="D6" s="113" t="inlineStr">
        <is>
          <t>Ignacio Canelo *</t>
        </is>
      </c>
      <c r="E6" s="112" t="n"/>
      <c r="F6" s="113" t="inlineStr">
        <is>
          <t>Gabriela Storini *</t>
        </is>
      </c>
      <c r="G6" s="112" t="inlineStr">
        <is>
          <t>Carlos de Lucca *</t>
        </is>
      </c>
      <c r="H6" s="113" t="inlineStr">
        <is>
          <t>Gabriela Storini</t>
        </is>
      </c>
      <c r="I6" s="112" t="n"/>
      <c r="J6" s="111" t="inlineStr">
        <is>
          <t>Gabriela Storini</t>
        </is>
      </c>
      <c r="K6" s="112" t="inlineStr">
        <is>
          <t>*</t>
        </is>
      </c>
      <c r="L6" s="113" t="inlineStr">
        <is>
          <t>Ignacio Canelo *</t>
        </is>
      </c>
      <c r="M6" s="112" t="n"/>
      <c r="N6" s="113" t="inlineStr">
        <is>
          <t>Gabriela Storini *</t>
        </is>
      </c>
      <c r="O6" s="112" t="inlineStr">
        <is>
          <t>Carlos de Lucca *</t>
        </is>
      </c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Natasha Tem Tem</t>
        </is>
      </c>
      <c r="C7" s="115" t="n"/>
      <c r="D7" s="114" t="inlineStr">
        <is>
          <t>Pedro Ribeiro</t>
        </is>
      </c>
      <c r="E7" s="115" t="n"/>
      <c r="F7" s="117" t="inlineStr">
        <is>
          <t>Pedro Ribeiro</t>
        </is>
      </c>
      <c r="G7" s="115" t="inlineStr">
        <is>
          <t>Diogo Ciesielski</t>
        </is>
      </c>
      <c r="H7" s="114" t="inlineStr">
        <is>
          <t>Pedro Ribeiro</t>
        </is>
      </c>
      <c r="I7" s="115" t="n"/>
      <c r="J7" s="114" t="inlineStr">
        <is>
          <t>Natasha Tem Tem</t>
        </is>
      </c>
      <c r="K7" s="115" t="n"/>
      <c r="L7" s="114" t="inlineStr">
        <is>
          <t>Pedro Ribeiro</t>
        </is>
      </c>
      <c r="M7" s="115" t="n"/>
      <c r="N7" s="117" t="inlineStr">
        <is>
          <t>Pedro Ribeiro</t>
        </is>
      </c>
      <c r="O7" s="115" t="inlineStr">
        <is>
          <t>Diogo Ciesielski</t>
        </is>
      </c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 +  Capri Cavanni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Léo Grimaldi *</t>
        </is>
      </c>
      <c r="C12" s="119" t="n"/>
      <c r="D12" s="108" t="inlineStr">
        <is>
          <t>Oliver Melo</t>
        </is>
      </c>
      <c r="E12" s="119" t="n"/>
      <c r="F12" s="108" t="inlineStr">
        <is>
          <t>Oliver Melo *</t>
        </is>
      </c>
      <c r="G12" s="109" t="n"/>
      <c r="H12" s="109" t="inlineStr">
        <is>
          <t>Léo Grimaldi</t>
        </is>
      </c>
      <c r="I12" s="119" t="n"/>
      <c r="J12" s="109" t="inlineStr">
        <is>
          <t>Léo Grimaldi *</t>
        </is>
      </c>
      <c r="K12" s="109" t="n"/>
      <c r="L12" s="108" t="inlineStr">
        <is>
          <t>Oliver Melo</t>
        </is>
      </c>
      <c r="M12" s="109" t="n"/>
      <c r="N12" s="108" t="inlineStr">
        <is>
          <t>Oliver Melo *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Carlos de Lucca *</t>
        </is>
      </c>
      <c r="C13" s="119" t="n"/>
      <c r="D13" s="111" t="inlineStr">
        <is>
          <t>Carlos de Lucca</t>
        </is>
      </c>
      <c r="E13" s="112" t="n"/>
      <c r="F13" s="111" t="inlineStr">
        <is>
          <t>Ignacio Canelo *</t>
        </is>
      </c>
      <c r="G13" s="119" t="n"/>
      <c r="H13" s="112" t="inlineStr">
        <is>
          <t>Ignacio Canelo</t>
        </is>
      </c>
      <c r="I13" s="119" t="n"/>
      <c r="J13" s="112" t="inlineStr">
        <is>
          <t>Carlos de Lucca *</t>
        </is>
      </c>
      <c r="K13" s="119" t="n"/>
      <c r="L13" s="111" t="inlineStr">
        <is>
          <t>Carlos de Lucca</t>
        </is>
      </c>
      <c r="M13" s="111" t="n"/>
      <c r="N13" s="111" t="inlineStr">
        <is>
          <t>Ignacio Canelo *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Diogo Ciesielski</t>
        </is>
      </c>
      <c r="C14" s="115" t="n"/>
      <c r="D14" s="117" t="inlineStr">
        <is>
          <t>Diogo Ciesielski</t>
        </is>
      </c>
      <c r="E14" s="122" t="n"/>
      <c r="F14" s="115" t="inlineStr">
        <is>
          <t>Natasha Tem Tem</t>
        </is>
      </c>
      <c r="G14" s="123" t="n"/>
      <c r="H14" s="115" t="inlineStr">
        <is>
          <t>Natasha Tem Tem</t>
        </is>
      </c>
      <c r="I14" s="124" t="n"/>
      <c r="J14" s="117" t="inlineStr">
        <is>
          <t>Diogo Ciesielski</t>
        </is>
      </c>
      <c r="K14" s="124" t="n"/>
      <c r="L14" s="117" t="inlineStr">
        <is>
          <t>Diogo Ciesielski</t>
        </is>
      </c>
      <c r="M14" s="124" t="n"/>
      <c r="N14" s="115" t="inlineStr">
        <is>
          <t>Natasha Tem Tem</t>
        </is>
      </c>
      <c r="O14" s="115" t="n"/>
      <c r="P14" s="6" t="n"/>
      <c r="Q14" s="80" t="inlineStr">
        <is>
          <t>Diogo Ciesielski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6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 xml:space="preserve">Issy Black 243m 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46258</v>
      </c>
      <c r="C3" s="146" t="n"/>
      <c r="D3" s="153" t="n">
        <v>46259</v>
      </c>
      <c r="E3" s="146" t="n"/>
      <c r="F3" s="153" t="n">
        <v>46260</v>
      </c>
      <c r="G3" s="146" t="n"/>
      <c r="H3" s="153" t="n">
        <v>46261</v>
      </c>
      <c r="I3" s="146" t="n"/>
      <c r="J3" s="153" t="n">
        <v>46262</v>
      </c>
      <c r="K3" s="146" t="n"/>
      <c r="L3" s="153" t="n">
        <v>46263</v>
      </c>
      <c r="M3" s="146" t="n"/>
      <c r="N3" s="153" t="n">
        <v>46264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Carolinne P.</t>
        </is>
      </c>
      <c r="C5" s="109" t="n"/>
      <c r="D5" s="110" t="inlineStr">
        <is>
          <t>Carolinne P. *</t>
        </is>
      </c>
      <c r="E5" s="109" t="inlineStr">
        <is>
          <t>Oliver Melo *</t>
        </is>
      </c>
      <c r="F5" s="110" t="inlineStr">
        <is>
          <t>Carolinne P.</t>
        </is>
      </c>
      <c r="G5" s="109" t="n"/>
      <c r="H5" s="110" t="inlineStr">
        <is>
          <t>Léo Grimaldi *</t>
        </is>
      </c>
      <c r="I5" s="109" t="inlineStr">
        <is>
          <t>*</t>
        </is>
      </c>
      <c r="J5" s="108" t="inlineStr">
        <is>
          <t>Carolinne P.</t>
        </is>
      </c>
      <c r="K5" s="109" t="n"/>
      <c r="L5" s="110" t="inlineStr">
        <is>
          <t>Carolinne P. *</t>
        </is>
      </c>
      <c r="M5" s="109" t="inlineStr">
        <is>
          <t>Oliver Melo *</t>
        </is>
      </c>
      <c r="N5" s="110" t="inlineStr">
        <is>
          <t>Carolinne P.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Gabriela Storini</t>
        </is>
      </c>
      <c r="C6" s="112" t="n"/>
      <c r="D6" s="113" t="inlineStr">
        <is>
          <t>Gabriela Storini</t>
        </is>
      </c>
      <c r="E6" s="112" t="inlineStr">
        <is>
          <t>*</t>
        </is>
      </c>
      <c r="F6" s="113" t="inlineStr">
        <is>
          <t>Ignacio Canelo *</t>
        </is>
      </c>
      <c r="G6" s="112" t="n"/>
      <c r="H6" s="113" t="inlineStr">
        <is>
          <t>Gabriela Storini *</t>
        </is>
      </c>
      <c r="I6" s="112" t="inlineStr">
        <is>
          <t>Carlos de Lucca *</t>
        </is>
      </c>
      <c r="J6" s="111" t="inlineStr">
        <is>
          <t>Gabriela Storini</t>
        </is>
      </c>
      <c r="K6" s="112" t="n"/>
      <c r="L6" s="113" t="inlineStr">
        <is>
          <t>Gabriela Storini</t>
        </is>
      </c>
      <c r="M6" s="112" t="inlineStr">
        <is>
          <t>*</t>
        </is>
      </c>
      <c r="N6" s="113" t="inlineStr">
        <is>
          <t>Ignacio Canelo *</t>
        </is>
      </c>
      <c r="O6" s="112" t="n"/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Pedro Ribeiro</t>
        </is>
      </c>
      <c r="C7" s="115" t="n"/>
      <c r="D7" s="114" t="inlineStr">
        <is>
          <t>Natasha Tem Tem</t>
        </is>
      </c>
      <c r="E7" s="115" t="n"/>
      <c r="F7" s="117" t="inlineStr">
        <is>
          <t>Pedro Ribeiro</t>
        </is>
      </c>
      <c r="G7" s="115" t="n"/>
      <c r="H7" s="114" t="inlineStr">
        <is>
          <t>Pedro Ribeiro</t>
        </is>
      </c>
      <c r="I7" s="115" t="inlineStr">
        <is>
          <t>Diogo Ciesielski</t>
        </is>
      </c>
      <c r="J7" s="114" t="inlineStr">
        <is>
          <t>Pedro Ribeiro</t>
        </is>
      </c>
      <c r="K7" s="115" t="n"/>
      <c r="L7" s="114" t="inlineStr">
        <is>
          <t>Natasha Tem Tem</t>
        </is>
      </c>
      <c r="M7" s="115" t="n"/>
      <c r="N7" s="117" t="inlineStr">
        <is>
          <t>Pedro Ribeiro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 +  Capri Cavanni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Léo Grimaldi</t>
        </is>
      </c>
      <c r="C12" s="119" t="n"/>
      <c r="D12" s="108" t="inlineStr">
        <is>
          <t>Léo Grimaldi *</t>
        </is>
      </c>
      <c r="E12" s="119" t="n"/>
      <c r="F12" s="108" t="inlineStr">
        <is>
          <t>Oliver Melo</t>
        </is>
      </c>
      <c r="G12" s="109" t="n"/>
      <c r="H12" s="109" t="inlineStr">
        <is>
          <t>Oliver Melo *</t>
        </is>
      </c>
      <c r="I12" s="119" t="n"/>
      <c r="J12" s="109" t="inlineStr">
        <is>
          <t>Léo Grimaldi</t>
        </is>
      </c>
      <c r="K12" s="109" t="n"/>
      <c r="L12" s="108" t="inlineStr">
        <is>
          <t>Léo Grimaldi *</t>
        </is>
      </c>
      <c r="M12" s="109" t="n"/>
      <c r="N12" s="108" t="inlineStr">
        <is>
          <t>Oliver Melo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Ignacio Canelo</t>
        </is>
      </c>
      <c r="C13" s="119" t="n"/>
      <c r="D13" s="111" t="inlineStr">
        <is>
          <t>Carlos de Lucca *</t>
        </is>
      </c>
      <c r="E13" s="112" t="n"/>
      <c r="F13" s="111" t="inlineStr">
        <is>
          <t>Carlos de Lucca</t>
        </is>
      </c>
      <c r="G13" s="119" t="n"/>
      <c r="H13" s="112" t="inlineStr">
        <is>
          <t>Ignacio Canelo *</t>
        </is>
      </c>
      <c r="I13" s="119" t="n"/>
      <c r="J13" s="112" t="inlineStr">
        <is>
          <t>Ignacio Canelo</t>
        </is>
      </c>
      <c r="K13" s="119" t="n"/>
      <c r="L13" s="111" t="inlineStr">
        <is>
          <t>Carlos de Lucca *</t>
        </is>
      </c>
      <c r="M13" s="111" t="n"/>
      <c r="N13" s="111" t="inlineStr">
        <is>
          <t>Carlos de Lucca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Natasha Tem Tem</t>
        </is>
      </c>
      <c r="C14" s="115" t="n"/>
      <c r="D14" s="117" t="inlineStr">
        <is>
          <t>Diogo Ciesielski</t>
        </is>
      </c>
      <c r="E14" s="122" t="n"/>
      <c r="F14" s="115" t="inlineStr">
        <is>
          <t>Diogo Ciesielski</t>
        </is>
      </c>
      <c r="G14" s="123" t="n"/>
      <c r="H14" s="115" t="inlineStr">
        <is>
          <t>Natasha Tem Tem</t>
        </is>
      </c>
      <c r="I14" s="124" t="n"/>
      <c r="J14" s="117" t="inlineStr">
        <is>
          <t>Natasha Tem Tem</t>
        </is>
      </c>
      <c r="K14" s="124" t="n"/>
      <c r="L14" s="117" t="inlineStr">
        <is>
          <t>Diogo Ciesielski *</t>
        </is>
      </c>
      <c r="M14" s="124" t="n"/>
      <c r="N14" s="115" t="inlineStr">
        <is>
          <t>Diogo Ciesielski</t>
        </is>
      </c>
      <c r="O14" s="115" t="n"/>
      <c r="P14" s="6" t="n"/>
      <c r="Q14" s="80" t="inlineStr">
        <is>
          <t>Diogo Ciesielski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7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 xml:space="preserve">Issy Black 243m 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46265</v>
      </c>
      <c r="C3" s="146" t="n"/>
      <c r="D3" s="153" t="n">
        <v>46266</v>
      </c>
      <c r="E3" s="146" t="n"/>
      <c r="F3" s="153" t="n">
        <v>46267</v>
      </c>
      <c r="G3" s="146" t="n"/>
      <c r="H3" s="153" t="n">
        <v>46268</v>
      </c>
      <c r="I3" s="146" t="n"/>
      <c r="J3" s="153" t="n">
        <v>46269</v>
      </c>
      <c r="K3" s="146" t="n"/>
      <c r="L3" s="153" t="n">
        <v>46270</v>
      </c>
      <c r="M3" s="146" t="n"/>
      <c r="N3" s="153" t="n">
        <v>46271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Léo Grimaldi *</t>
        </is>
      </c>
      <c r="C5" s="109" t="inlineStr">
        <is>
          <t>*</t>
        </is>
      </c>
      <c r="D5" s="110" t="inlineStr">
        <is>
          <t>Carolinne P.</t>
        </is>
      </c>
      <c r="E5" s="109" t="n"/>
      <c r="F5" s="110" t="inlineStr">
        <is>
          <t>Carolinne P.</t>
        </is>
      </c>
      <c r="G5" s="109" t="inlineStr">
        <is>
          <t>Oliver Melo *</t>
        </is>
      </c>
      <c r="H5" s="110" t="inlineStr">
        <is>
          <t>Carolinne P. *</t>
        </is>
      </c>
      <c r="I5" s="109" t="n"/>
      <c r="J5" s="108" t="inlineStr">
        <is>
          <t>Léo Grimaldi *</t>
        </is>
      </c>
      <c r="K5" s="109" t="inlineStr">
        <is>
          <t>*</t>
        </is>
      </c>
      <c r="L5" s="110" t="inlineStr">
        <is>
          <t>Carolinne P.</t>
        </is>
      </c>
      <c r="M5" s="109" t="n"/>
      <c r="N5" s="110" t="inlineStr">
        <is>
          <t>Carolinne P.</t>
        </is>
      </c>
      <c r="O5" s="109" t="inlineStr">
        <is>
          <t>Oliver Melo *</t>
        </is>
      </c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Gabriela Storini *</t>
        </is>
      </c>
      <c r="C6" s="112" t="inlineStr">
        <is>
          <t>Carlos de Lucca *</t>
        </is>
      </c>
      <c r="D6" s="113" t="inlineStr">
        <is>
          <t>Gabriela Storini</t>
        </is>
      </c>
      <c r="E6" s="112" t="n"/>
      <c r="F6" s="113" t="inlineStr">
        <is>
          <t>Gabriela Storini</t>
        </is>
      </c>
      <c r="G6" s="112" t="inlineStr">
        <is>
          <t>*</t>
        </is>
      </c>
      <c r="H6" s="113" t="inlineStr">
        <is>
          <t>Ignacio Canelo *</t>
        </is>
      </c>
      <c r="I6" s="112" t="n"/>
      <c r="J6" s="111" t="inlineStr">
        <is>
          <t>Gabriela Storini *</t>
        </is>
      </c>
      <c r="K6" s="112" t="inlineStr">
        <is>
          <t>Carlos de Lucca *</t>
        </is>
      </c>
      <c r="L6" s="113" t="inlineStr">
        <is>
          <t>Gabriela Storini</t>
        </is>
      </c>
      <c r="M6" s="112" t="n"/>
      <c r="N6" s="113" t="inlineStr">
        <is>
          <t>Gabriela Storini</t>
        </is>
      </c>
      <c r="O6" s="112" t="inlineStr">
        <is>
          <t>*</t>
        </is>
      </c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Pedro Ribeiro</t>
        </is>
      </c>
      <c r="C7" s="115" t="inlineStr">
        <is>
          <t>Diogo Ciesielski</t>
        </is>
      </c>
      <c r="D7" s="114" t="inlineStr">
        <is>
          <t>Pedro Ribeiro</t>
        </is>
      </c>
      <c r="E7" s="115" t="n"/>
      <c r="F7" s="117" t="inlineStr">
        <is>
          <t>Natasha Tem Tem</t>
        </is>
      </c>
      <c r="G7" s="115" t="n"/>
      <c r="H7" s="114" t="inlineStr">
        <is>
          <t>Pedro Ribeiro</t>
        </is>
      </c>
      <c r="I7" s="115" t="n"/>
      <c r="J7" s="114" t="inlineStr">
        <is>
          <t>Pedro Ribeiro</t>
        </is>
      </c>
      <c r="K7" s="115" t="inlineStr">
        <is>
          <t>Diogo Ciesielski *</t>
        </is>
      </c>
      <c r="L7" s="114" t="inlineStr">
        <is>
          <t>Pedro Ribeiro</t>
        </is>
      </c>
      <c r="M7" s="115" t="n"/>
      <c r="N7" s="117" t="inlineStr">
        <is>
          <t>Natasha Tem Tem *</t>
        </is>
      </c>
      <c r="O7" s="115" t="n"/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 +  Capri Cavanni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Oliver Melo *</t>
        </is>
      </c>
      <c r="C12" s="119" t="n"/>
      <c r="D12" s="108" t="inlineStr">
        <is>
          <t>Léo Grimaldi</t>
        </is>
      </c>
      <c r="E12" s="119" t="n"/>
      <c r="F12" s="108" t="inlineStr">
        <is>
          <t>Léo Grimaldi *</t>
        </is>
      </c>
      <c r="G12" s="109" t="n"/>
      <c r="H12" s="109" t="inlineStr">
        <is>
          <t>Oliver Melo</t>
        </is>
      </c>
      <c r="I12" s="119" t="n"/>
      <c r="J12" s="109" t="inlineStr">
        <is>
          <t>Oliver Melo *</t>
        </is>
      </c>
      <c r="K12" s="109" t="n"/>
      <c r="L12" s="108" t="inlineStr">
        <is>
          <t>Léo Grimaldi</t>
        </is>
      </c>
      <c r="M12" s="109" t="n"/>
      <c r="N12" s="108" t="inlineStr">
        <is>
          <t>Léo Grimaldi *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Ignacio Canelo *</t>
        </is>
      </c>
      <c r="C13" s="119" t="n"/>
      <c r="D13" s="111" t="inlineStr">
        <is>
          <t>Ignacio Canelo</t>
        </is>
      </c>
      <c r="E13" s="112" t="n"/>
      <c r="F13" s="111" t="inlineStr">
        <is>
          <t>Carlos de Lucca *</t>
        </is>
      </c>
      <c r="G13" s="119" t="n"/>
      <c r="H13" s="112" t="inlineStr">
        <is>
          <t>Carlos de Lucca</t>
        </is>
      </c>
      <c r="I13" s="119" t="n"/>
      <c r="J13" s="112" t="inlineStr">
        <is>
          <t>Ignacio Canelo *</t>
        </is>
      </c>
      <c r="K13" s="119" t="n"/>
      <c r="L13" s="111" t="inlineStr">
        <is>
          <t>Ignacio Canelo</t>
        </is>
      </c>
      <c r="M13" s="111" t="n"/>
      <c r="N13" s="111" t="inlineStr">
        <is>
          <t>Carlos de Lucca *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Natasha Tem Tem</t>
        </is>
      </c>
      <c r="C14" s="115" t="n"/>
      <c r="D14" s="117" t="inlineStr">
        <is>
          <t>Natasha Tem Tem</t>
        </is>
      </c>
      <c r="E14" s="122" t="n"/>
      <c r="F14" s="115" t="inlineStr">
        <is>
          <t>Diogo Ciesielski</t>
        </is>
      </c>
      <c r="G14" s="123" t="n"/>
      <c r="H14" s="115" t="inlineStr">
        <is>
          <t>Diogo Ciesielski</t>
        </is>
      </c>
      <c r="I14" s="124" t="n"/>
      <c r="J14" s="117" t="inlineStr">
        <is>
          <t>Natasha Tem Tem</t>
        </is>
      </c>
      <c r="K14" s="124" t="n"/>
      <c r="L14" s="117" t="inlineStr">
        <is>
          <t>Natasha Tem Tem *</t>
        </is>
      </c>
      <c r="M14" s="124" t="n"/>
      <c r="N14" s="115" t="inlineStr">
        <is>
          <t>Diogo Ciesielski</t>
        </is>
      </c>
      <c r="O14" s="115" t="n"/>
      <c r="P14" s="6" t="n"/>
      <c r="Q14" s="80" t="inlineStr">
        <is>
          <t>Diogo Ciesielski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8.xml><?xml version="1.0" encoding="utf-8"?>
<worksheet xmlns="http://schemas.openxmlformats.org/spreadsheetml/2006/main">
  <sheetPr>
    <outlinePr summaryBelow="0" summaryRight="0"/>
    <pageSetUpPr fitToPage="1"/>
  </sheetPr>
  <dimension ref="A1:V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52" t="inlineStr">
        <is>
          <t>Issy Black 243m + Desiree 018m/018s/018t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3" t="n">
        <v>46272</v>
      </c>
      <c r="C3" s="146" t="n"/>
      <c r="D3" s="153" t="n">
        <v>46273</v>
      </c>
      <c r="E3" s="146" t="n"/>
      <c r="F3" s="153" t="n">
        <v>46274</v>
      </c>
      <c r="G3" s="146" t="n"/>
      <c r="H3" s="153" t="n">
        <v>46275</v>
      </c>
      <c r="I3" s="146" t="n"/>
      <c r="J3" s="153" t="n">
        <v>46276</v>
      </c>
      <c r="K3" s="146" t="n"/>
      <c r="L3" s="153" t="n">
        <v>46277</v>
      </c>
      <c r="M3" s="146" t="n"/>
      <c r="N3" s="153" t="n">
        <v>46278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38" t="n"/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108" t="inlineStr">
        <is>
          <t>Carolinne P. *</t>
        </is>
      </c>
      <c r="C5" s="109" t="n"/>
      <c r="D5" s="110" t="inlineStr">
        <is>
          <t>Léo Grimaldi *</t>
        </is>
      </c>
      <c r="E5" s="109" t="inlineStr">
        <is>
          <t>*</t>
        </is>
      </c>
      <c r="F5" s="110" t="inlineStr">
        <is>
          <t>Carolinne P.</t>
        </is>
      </c>
      <c r="G5" s="109" t="n"/>
      <c r="H5" s="110" t="inlineStr">
        <is>
          <t>Carolinne P.</t>
        </is>
      </c>
      <c r="I5" s="109" t="inlineStr">
        <is>
          <t>Oliver Melo *</t>
        </is>
      </c>
      <c r="J5" s="108" t="inlineStr">
        <is>
          <t>Carolinne P. *</t>
        </is>
      </c>
      <c r="K5" s="109" t="n"/>
      <c r="L5" s="110" t="inlineStr">
        <is>
          <t>Léo Grimaldi *</t>
        </is>
      </c>
      <c r="M5" s="109" t="inlineStr">
        <is>
          <t>*</t>
        </is>
      </c>
      <c r="N5" s="110" t="inlineStr">
        <is>
          <t>Carolinne P.</t>
        </is>
      </c>
      <c r="O5" s="109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111" t="inlineStr">
        <is>
          <t>Ignacio Canelo *</t>
        </is>
      </c>
      <c r="C6" s="112" t="n"/>
      <c r="D6" s="113" t="inlineStr">
        <is>
          <t>Gabriela Storini *</t>
        </is>
      </c>
      <c r="E6" s="112" t="inlineStr">
        <is>
          <t>Carlos de Lucca *</t>
        </is>
      </c>
      <c r="F6" s="113" t="inlineStr">
        <is>
          <t>Gabriela Storini</t>
        </is>
      </c>
      <c r="G6" s="112" t="n"/>
      <c r="H6" s="113" t="inlineStr">
        <is>
          <t>Gabriela Storini</t>
        </is>
      </c>
      <c r="I6" s="112" t="inlineStr">
        <is>
          <t>*</t>
        </is>
      </c>
      <c r="J6" s="111" t="inlineStr">
        <is>
          <t>Ignacio Canelo *</t>
        </is>
      </c>
      <c r="K6" s="112" t="n"/>
      <c r="L6" s="113" t="inlineStr">
        <is>
          <t>Gabriela Storini *</t>
        </is>
      </c>
      <c r="M6" s="112" t="inlineStr">
        <is>
          <t>Carlos de Lucca *</t>
        </is>
      </c>
      <c r="N6" s="113" t="inlineStr">
        <is>
          <t>Gabriela Storini</t>
        </is>
      </c>
      <c r="O6" s="112" t="n"/>
      <c r="P6" s="6" t="n"/>
      <c r="Q6" s="110" t="inlineStr">
        <is>
          <t>Carolinne P.</t>
        </is>
      </c>
      <c r="R6" s="49" t="inlineStr">
        <is>
          <t>Secundus | T2/T3</t>
        </is>
      </c>
      <c r="S6" s="52">
        <f>COUNTIF($B$5:$O$14,Q6)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114" t="inlineStr">
        <is>
          <t>Pedro Ribeiro</t>
        </is>
      </c>
      <c r="C7" s="115" t="n"/>
      <c r="D7" s="114" t="inlineStr">
        <is>
          <t>Pedro Ribeiro</t>
        </is>
      </c>
      <c r="E7" s="115" t="inlineStr">
        <is>
          <t>Diogo Ciesielski *</t>
        </is>
      </c>
      <c r="F7" s="117" t="inlineStr">
        <is>
          <t>Pedro Ribeiro</t>
        </is>
      </c>
      <c r="G7" s="115" t="inlineStr">
        <is>
          <t>*</t>
        </is>
      </c>
      <c r="H7" s="114" t="inlineStr">
        <is>
          <t>Natasha Tem Tem</t>
        </is>
      </c>
      <c r="I7" s="115" t="n"/>
      <c r="J7" s="114" t="inlineStr">
        <is>
          <t>Pedro Ribeiro</t>
        </is>
      </c>
      <c r="K7" s="115" t="n"/>
      <c r="L7" s="114" t="inlineStr">
        <is>
          <t>Pedro Ribeiro</t>
        </is>
      </c>
      <c r="M7" s="115" t="inlineStr">
        <is>
          <t>Diogo Ciesielski *</t>
        </is>
      </c>
      <c r="N7" s="117" t="inlineStr">
        <is>
          <t>Pedro Ribeiro</t>
        </is>
      </c>
      <c r="O7" s="115" t="inlineStr">
        <is>
          <t>*</t>
        </is>
      </c>
      <c r="P7" s="6" t="n"/>
      <c r="Q7" s="64" t="inlineStr">
        <is>
          <t>Léo Grimaldi</t>
        </is>
      </c>
      <c r="R7" s="64" t="inlineStr">
        <is>
          <t>Secundus | T2/T3</t>
        </is>
      </c>
      <c r="S7" s="13">
        <f>COUNTIF($B$5:$O$14,Q7)</f>
        <v/>
      </c>
      <c r="T7" s="13">
        <f>COUNTIF(B:B,Q7)+COUNTIF(D:D,Q7)+COUNTIF(F:F,Q7)+COUNTIF(H:H,Q7)+COUNTIF(J:J,Q7)+COUNTIF(L:L,Q7)+COUNTIF(N:N,Q7)</f>
        <v/>
      </c>
      <c r="U7" s="13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72" t="inlineStr">
        <is>
          <t>Tertius T2/T3</t>
        </is>
      </c>
      <c r="S8" s="13" t="n">
        <v>5</v>
      </c>
      <c r="T8" s="13">
        <f>COUNTIF(B:B,Q8)+COUNTIF(D:D,Q8)+COUNTIF(F:F,Q8)+COUNTIF(H:H,Q8)+COUNTIF(J:J,Q8)+COUNTIF(L:L,Q8)+COUNTIF(N:N,Q8)</f>
        <v/>
      </c>
      <c r="U8" s="13">
        <f>COUNTIF(C:C,Q8)+COUNTIF(E:E,Q8)+COUNTIF(G:G,Q8)+COUNTIF(I:I,Q8)+COUNTIF(K:K,Q8)+COUNTIF(M:M,Q8)+COUNTIF(O:O,Q8)</f>
        <v/>
      </c>
      <c r="V8" s="6" t="n"/>
    </row>
    <row r="9" ht="24.75" customHeight="1" s="141">
      <c r="A9" s="152" t="inlineStr">
        <is>
          <t>Joyce 231m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68" t="inlineStr">
        <is>
          <t>Secundus | T4/T5</t>
        </is>
      </c>
      <c r="S9" s="13">
        <f>COUNTIF($B$5:$O$14,Q9)</f>
        <v/>
      </c>
      <c r="T9" s="13">
        <f>COUNTIF(B:B,Q9)+COUNTIF(D:D,Q9)+COUNTIF(F:F,Q9)+COUNTIF(H:H,Q9)+COUNTIF(J:J,Q9)+COUNTIF(L:L,Q9)+COUNTIF(N:N,Q9)</f>
        <v/>
      </c>
      <c r="U9" s="13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3">
        <f>B$3</f>
        <v/>
      </c>
      <c r="C10" s="146" t="n"/>
      <c r="D10" s="153">
        <f>D$3</f>
        <v/>
      </c>
      <c r="E10" s="146" t="n"/>
      <c r="F10" s="153">
        <f>F$3</f>
        <v/>
      </c>
      <c r="G10" s="146" t="n"/>
      <c r="H10" s="153">
        <f>H$3</f>
        <v/>
      </c>
      <c r="I10" s="146" t="n"/>
      <c r="J10" s="153">
        <f>J$3</f>
        <v/>
      </c>
      <c r="K10" s="146" t="n"/>
      <c r="L10" s="153">
        <f>L$3</f>
        <v/>
      </c>
      <c r="M10" s="146" t="n"/>
      <c r="N10" s="153">
        <f>N$3</f>
        <v/>
      </c>
      <c r="O10" s="146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13">
        <f>COUNTIF($B$5:$O$14,Q10)</f>
        <v/>
      </c>
      <c r="T10" s="13">
        <f>COUNTIF(B:B,Q10)+COUNTIF(D:D,Q10)+COUNTIF(F:F,Q10)+COUNTIF(H:H,Q10)+COUNTIF(J:J,Q10)+COUNTIF(L:L,Q10)+COUNTIF(N:N,Q10)</f>
        <v/>
      </c>
      <c r="U10" s="13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74" t="inlineStr">
        <is>
          <t>Tertius | T4/T5</t>
        </is>
      </c>
      <c r="S11" s="13">
        <f>COUNTIF($B$5:$O$14,Q11)</f>
        <v/>
      </c>
      <c r="T11" s="13">
        <f>COUNTIF(B:B,Q11)+COUNTIF(D:D,Q11)+COUNTIF(F:F,Q11)+COUNTIF(H:H,Q11)+COUNTIF(J:J,Q11)+COUNTIF(L:L,Q11)+COUNTIF(N:N,Q11)</f>
        <v/>
      </c>
      <c r="U11" s="13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109" t="inlineStr">
        <is>
          <t>Oliver Melo</t>
        </is>
      </c>
      <c r="C12" s="119" t="n"/>
      <c r="D12" s="108" t="inlineStr">
        <is>
          <t>Oliver Melo *</t>
        </is>
      </c>
      <c r="E12" s="119" t="n"/>
      <c r="F12" s="108" t="inlineStr">
        <is>
          <t>Léo Grimaldi</t>
        </is>
      </c>
      <c r="G12" s="109" t="n"/>
      <c r="H12" s="109" t="inlineStr">
        <is>
          <t>Léo Grimaldi *</t>
        </is>
      </c>
      <c r="I12" s="119" t="n"/>
      <c r="J12" s="109" t="inlineStr">
        <is>
          <t>Oliver Melo</t>
        </is>
      </c>
      <c r="K12" s="109" t="n"/>
      <c r="L12" s="108" t="inlineStr">
        <is>
          <t>Oliver Melo *</t>
        </is>
      </c>
      <c r="M12" s="109" t="n"/>
      <c r="N12" s="108" t="inlineStr">
        <is>
          <t>Léo Grimaldi</t>
        </is>
      </c>
      <c r="O12" s="109" t="n"/>
      <c r="P12" s="6" t="n"/>
      <c r="Q12" s="120" t="inlineStr">
        <is>
          <t>Natasha Tem Tem</t>
        </is>
      </c>
      <c r="R12" s="120" t="inlineStr">
        <is>
          <t>Primaris | T6T1</t>
        </is>
      </c>
      <c r="S12" s="13">
        <f>COUNTIF($B$5:$O$14,Q12)</f>
        <v/>
      </c>
      <c r="T12" s="13">
        <f>COUNTIF(B:B,Q12)+COUNTIF(D:D,Q12)+COUNTIF(F:F,Q12)+COUNTIF(H:H,Q12)+COUNTIF(J:J,Q12)+COUNTIF(L:L,Q12)+COUNTIF(N:N,Q12)</f>
        <v/>
      </c>
      <c r="U12" s="13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112" t="inlineStr">
        <is>
          <t>Carlos de Lucca</t>
        </is>
      </c>
      <c r="C13" s="119" t="n"/>
      <c r="D13" s="111" t="inlineStr">
        <is>
          <t>Ignacio Canelo *</t>
        </is>
      </c>
      <c r="E13" s="112" t="n"/>
      <c r="F13" s="111" t="inlineStr">
        <is>
          <t>Ignacio Canelo</t>
        </is>
      </c>
      <c r="G13" s="119" t="n"/>
      <c r="H13" s="112" t="inlineStr">
        <is>
          <t>Carlos de Lucca *</t>
        </is>
      </c>
      <c r="I13" s="119" t="n"/>
      <c r="J13" s="112" t="inlineStr">
        <is>
          <t>Carlos de Lucca</t>
        </is>
      </c>
      <c r="K13" s="119" t="n"/>
      <c r="L13" s="111" t="inlineStr">
        <is>
          <t>Ignacio Canelo *</t>
        </is>
      </c>
      <c r="M13" s="111" t="n"/>
      <c r="N13" s="111" t="inlineStr">
        <is>
          <t>Ignacio Canelo</t>
        </is>
      </c>
      <c r="O13" s="121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13">
        <f>COUNTIF($B$5:$O$14,Q13)</f>
        <v/>
      </c>
      <c r="T13" s="13">
        <f>COUNTIF(B:B,Q13)+COUNTIF(D:D,Q13)+COUNTIF(F:F,Q13)+COUNTIF(H:H,Q13)+COUNTIF(J:J,Q13)+COUNTIF(L:L,Q13)+COUNTIF(N:N,Q13)</f>
        <v/>
      </c>
      <c r="U13" s="13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117" t="inlineStr">
        <is>
          <t>Diogo Ciesielski</t>
        </is>
      </c>
      <c r="C14" s="115" t="n"/>
      <c r="D14" s="117" t="inlineStr">
        <is>
          <t>Natasha Tem Tem</t>
        </is>
      </c>
      <c r="E14" s="122" t="n"/>
      <c r="F14" s="115" t="inlineStr">
        <is>
          <t>Natasha Tem Tem</t>
        </is>
      </c>
      <c r="G14" s="123" t="n"/>
      <c r="H14" s="115" t="inlineStr">
        <is>
          <t>Diogo Ciesielski</t>
        </is>
      </c>
      <c r="I14" s="124" t="n"/>
      <c r="J14" s="117" t="inlineStr">
        <is>
          <t>Diogo Ciesielski</t>
        </is>
      </c>
      <c r="K14" s="124" t="n"/>
      <c r="L14" s="117" t="inlineStr">
        <is>
          <t>Natasha Tem Tem</t>
        </is>
      </c>
      <c r="M14" s="124" t="n"/>
      <c r="N14" s="115" t="inlineStr">
        <is>
          <t>Natasha Tem Tem</t>
        </is>
      </c>
      <c r="O14" s="115" t="n"/>
      <c r="P14" s="6" t="n"/>
      <c r="Q14" s="80" t="inlineStr">
        <is>
          <t>Diogo Ciesielski</t>
        </is>
      </c>
      <c r="R14" s="125" t="inlineStr">
        <is>
          <t>Tertius | T6T1</t>
        </is>
      </c>
      <c r="S14" s="13">
        <f>COUNTIF($B$5:$O$14,Q14)</f>
        <v/>
      </c>
      <c r="T14" s="13">
        <f>COUNTIF(B:B,Q14)+COUNTIF(D:D,Q14)+COUNTIF(F:F,Q14)+COUNTIF(H:H,Q14)+COUNTIF(J:J,Q14)+COUNTIF(L:L,Q14)+COUNTIF(N:N,Q14)</f>
        <v/>
      </c>
      <c r="U14" s="13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81" t="n"/>
      <c r="R15" s="81" t="n"/>
      <c r="S15" s="82" t="n"/>
      <c r="T15" s="6" t="n"/>
      <c r="U15" s="6" t="n"/>
      <c r="V15" s="6" t="n"/>
    </row>
    <row r="16">
      <c r="A16" s="83" t="n"/>
      <c r="P16" s="84" t="n"/>
      <c r="Q16" s="85" t="n"/>
      <c r="R16" s="85" t="n"/>
      <c r="S16" s="86" t="n"/>
      <c r="T16" s="84" t="n"/>
      <c r="U16" s="84" t="n"/>
      <c r="V16" s="84" t="n"/>
    </row>
    <row r="17">
      <c r="A17" s="86" t="n"/>
      <c r="B17" s="87" t="n"/>
      <c r="D17" s="87" t="n"/>
      <c r="F17" s="87" t="n"/>
      <c r="H17" s="87" t="n"/>
      <c r="J17" s="87" t="n"/>
      <c r="L17" s="87" t="n"/>
      <c r="N17" s="87" t="n"/>
      <c r="P17" s="84" t="n"/>
      <c r="Q17" s="86" t="n"/>
      <c r="R17" s="86" t="n"/>
      <c r="S17" s="86" t="n"/>
      <c r="T17" s="84" t="n"/>
      <c r="U17" s="84" t="n"/>
      <c r="V17" s="84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4" t="n"/>
      <c r="Q18" s="88" t="n"/>
      <c r="R18" s="88" t="n"/>
      <c r="S18" s="86" t="n"/>
      <c r="T18" s="84" t="n"/>
      <c r="U18" s="84" t="n"/>
      <c r="V18" s="84" t="n"/>
    </row>
    <row r="19">
      <c r="A19" s="86" t="n"/>
      <c r="B19" s="85" t="n"/>
      <c r="C19" s="89" t="n"/>
      <c r="D19" s="85" t="n"/>
      <c r="E19" s="89" t="n"/>
      <c r="F19" s="90" t="n"/>
      <c r="G19" s="89" t="n"/>
      <c r="H19" s="91" t="n"/>
      <c r="I19" s="89" t="n"/>
      <c r="J19" s="85" t="n"/>
      <c r="K19" s="89" t="n"/>
      <c r="L19" s="90" t="n"/>
      <c r="M19" s="92" t="n"/>
      <c r="N19" s="90" t="n"/>
      <c r="O19" s="89" t="n"/>
      <c r="P19" s="84" t="n"/>
      <c r="Q19" s="94" t="n"/>
      <c r="R19" s="94" t="n"/>
      <c r="S19" s="86" t="n"/>
      <c r="T19" s="84" t="n"/>
      <c r="U19" s="84" t="n"/>
      <c r="V19" s="84" t="n"/>
    </row>
    <row r="20">
      <c r="A20" s="86" t="n"/>
      <c r="B20" s="88" t="n"/>
      <c r="C20" s="89" t="n"/>
      <c r="D20" s="86" t="n"/>
      <c r="E20" s="89" t="n"/>
      <c r="F20" s="88" t="n"/>
      <c r="G20" s="89" t="n"/>
      <c r="I20" s="89" t="n"/>
      <c r="J20" s="88" t="n"/>
      <c r="K20" s="89" t="n"/>
      <c r="L20" s="91" t="n"/>
      <c r="M20" s="89" t="n"/>
      <c r="N20" s="88" t="n"/>
      <c r="O20" s="89" t="n"/>
      <c r="P20" s="84" t="n"/>
      <c r="Q20" s="96" t="n"/>
      <c r="R20" s="96" t="n"/>
      <c r="S20" s="86" t="n"/>
      <c r="T20" s="84" t="n"/>
      <c r="U20" s="84" t="n"/>
      <c r="V20" s="84" t="n"/>
    </row>
    <row r="21">
      <c r="A21" s="86" t="n"/>
      <c r="B21" s="97" t="n"/>
      <c r="C21" s="89" t="n"/>
      <c r="D21" s="97" t="n"/>
      <c r="E21" s="89" t="n"/>
      <c r="F21" s="99" t="n"/>
      <c r="G21" s="89" t="n"/>
      <c r="H21" s="99" t="n"/>
      <c r="I21" s="89" t="n"/>
      <c r="J21" s="99" t="n"/>
      <c r="K21" s="89" t="n"/>
      <c r="L21" s="100" t="n"/>
      <c r="M21" s="89" t="n"/>
      <c r="N21" s="100" t="n"/>
      <c r="O21" s="89" t="n"/>
      <c r="P21" s="84" t="n"/>
      <c r="Q21" s="101" t="n"/>
      <c r="R21" s="101" t="n"/>
      <c r="S21" s="86" t="n"/>
      <c r="T21" s="84" t="n"/>
      <c r="U21" s="84" t="n"/>
      <c r="V21" s="84" t="n"/>
    </row>
    <row r="23">
      <c r="Q23" s="102" t="n"/>
      <c r="R23" s="102" t="n"/>
    </row>
    <row r="25">
      <c r="S25" s="103" t="n"/>
    </row>
  </sheetData>
  <mergeCells count="24">
    <mergeCell ref="L17:M17"/>
    <mergeCell ref="A16:O16"/>
    <mergeCell ref="D10:E10"/>
    <mergeCell ref="F10:G10"/>
    <mergeCell ref="B3:C3"/>
    <mergeCell ref="H10:I10"/>
    <mergeCell ref="J10:K10"/>
    <mergeCell ref="F3:G3"/>
    <mergeCell ref="L3:M3"/>
    <mergeCell ref="N3:O3"/>
    <mergeCell ref="A2:O2"/>
    <mergeCell ref="B17:C17"/>
    <mergeCell ref="D17:E17"/>
    <mergeCell ref="F17:G17"/>
    <mergeCell ref="H17:I17"/>
    <mergeCell ref="N17:O17"/>
    <mergeCell ref="L10:M10"/>
    <mergeCell ref="B10:C10"/>
    <mergeCell ref="N10:O10"/>
    <mergeCell ref="A9:O9"/>
    <mergeCell ref="D3:E3"/>
    <mergeCell ref="H3:I3"/>
    <mergeCell ref="J3:K3"/>
    <mergeCell ref="J17:K17"/>
  </mergeCells>
  <conditionalFormatting sqref="A1:AA1001">
    <cfRule type="containsText" priority="1" operator="containsText" dxfId="0" text="Natasha Tem Tem">
      <formula>NOT(ISERROR(SEARCH(("Natasha Tem Tem"),(A1))))</formula>
    </cfRule>
    <cfRule type="containsText" priority="2" operator="containsText" dxfId="1" text="Carolinne">
      <formula>NOT(ISERROR(SEARCH(("Carolinne"),(A1))))</formula>
    </cfRule>
    <cfRule type="containsText" priority="3" operator="containsText" dxfId="2" text="Oliver">
      <formula>NOT(ISERROR(SEARCH(("Oliver"),(A1))))</formula>
    </cfRule>
    <cfRule type="containsText" priority="4" operator="containsText" dxfId="3" text="carlos">
      <formula>NOT(ISERROR(SEARCH(("carlos"),(A1))))</formula>
    </cfRule>
    <cfRule type="containsText" priority="5" operator="containsText" dxfId="4" text="Léo">
      <formula>NOT(ISERROR(SEARCH(("Léo"),(A1))))</formula>
    </cfRule>
    <cfRule type="containsText" priority="6" operator="containsText" dxfId="5" text="Pedro">
      <formula>NOT(ISERROR(SEARCH(("Pedro"),(A1))))</formula>
    </cfRule>
    <cfRule type="containsText" priority="7" operator="containsText" dxfId="6" text="Storini">
      <formula>NOT(ISERROR(SEARCH(("Storini"),(A1))))</formula>
    </cfRule>
    <cfRule type="containsText" priority="8" operator="containsText" dxfId="7" text="Ignacio">
      <formula>NOT(ISERROR(SEARCH(("Ignacio"),(A1))))</formula>
    </cfRule>
    <cfRule type="containsText" priority="9" operator="containsText" dxfId="8" text="Diogo">
      <formula>NOT(ISERROR(SEARCH(("Diogo"),(A1))))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9.xml><?xml version="1.0" encoding="utf-8"?>
<worksheet xmlns="http://schemas.openxmlformats.org/spreadsheetml/2006/main">
  <sheetPr>
    <outlinePr summaryBelow="0" summaryRight="0"/>
    <pageSetUpPr fitToPage="1"/>
  </sheetPr>
  <dimension ref="A1:V27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41" min="1" max="1"/>
    <col width="16.13" customWidth="1" style="141" min="2" max="15"/>
    <col width="2.75" customWidth="1" style="141" min="16" max="16"/>
    <col width="16.13" customWidth="1" style="141" min="17" max="17"/>
    <col width="18.13" customWidth="1" style="141" min="18" max="18"/>
    <col width="3.63" customWidth="1" style="141" min="22" max="22"/>
  </cols>
  <sheetData>
    <row r="1" ht="12.7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" t="n"/>
      <c r="Q1" s="7" t="n"/>
      <c r="R1" s="7" t="n"/>
      <c r="S1" s="6" t="n"/>
      <c r="T1" s="6" t="n"/>
      <c r="U1" s="6" t="n"/>
      <c r="V1" s="6" t="n"/>
    </row>
    <row r="2" ht="27" customHeight="1" s="141">
      <c r="A2" s="149" t="inlineStr">
        <is>
          <t>Issy Black 243m + Joyce 231m</t>
        </is>
      </c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4" t="n"/>
      <c r="P2" s="6" t="n"/>
      <c r="Q2" s="13" t="inlineStr">
        <is>
          <t>ADMIN TIME</t>
        </is>
      </c>
      <c r="R2" s="13" t="n"/>
      <c r="S2" s="6" t="n"/>
      <c r="T2" s="6" t="n"/>
      <c r="U2" s="6" t="n"/>
      <c r="V2" s="6" t="n"/>
    </row>
    <row r="3" ht="22.5" customHeight="1" s="141">
      <c r="A3" s="9" t="inlineStr">
        <is>
          <t>Dia</t>
        </is>
      </c>
      <c r="B3" s="150" t="n">
        <v>46237</v>
      </c>
      <c r="C3" s="146" t="n"/>
      <c r="D3" s="150" t="n">
        <v>46238</v>
      </c>
      <c r="E3" s="146" t="n"/>
      <c r="F3" s="150" t="n">
        <v>46239</v>
      </c>
      <c r="G3" s="146" t="n"/>
      <c r="H3" s="150" t="n">
        <v>46240</v>
      </c>
      <c r="I3" s="146" t="n"/>
      <c r="J3" s="150" t="n">
        <v>46241</v>
      </c>
      <c r="K3" s="146" t="n"/>
      <c r="L3" s="150" t="n">
        <v>46242</v>
      </c>
      <c r="M3" s="146" t="n"/>
      <c r="N3" s="150" t="n">
        <v>46243</v>
      </c>
      <c r="O3" s="146" t="n"/>
      <c r="P3" s="6" t="n"/>
      <c r="Q3" s="75" t="n"/>
      <c r="R3" s="15" t="n"/>
      <c r="S3" s="6" t="n"/>
      <c r="T3" s="6" t="n"/>
      <c r="U3" s="6" t="n"/>
      <c r="V3" s="6" t="n"/>
    </row>
    <row r="4" ht="22.5" customHeight="1" s="141">
      <c r="A4" s="9" t="inlineStr">
        <is>
          <t>Cargo</t>
        </is>
      </c>
      <c r="B4" s="33" t="inlineStr">
        <is>
          <t>Promotor</t>
        </is>
      </c>
      <c r="C4" s="19" t="inlineStr">
        <is>
          <t>Assistant</t>
        </is>
      </c>
      <c r="D4" s="33" t="inlineStr">
        <is>
          <t>Promotor</t>
        </is>
      </c>
      <c r="E4" s="19" t="inlineStr">
        <is>
          <t>Assistant</t>
        </is>
      </c>
      <c r="F4" s="33" t="inlineStr">
        <is>
          <t>Promotor</t>
        </is>
      </c>
      <c r="G4" s="19" t="inlineStr">
        <is>
          <t>Assistant</t>
        </is>
      </c>
      <c r="H4" s="33" t="inlineStr">
        <is>
          <t>Promotor</t>
        </is>
      </c>
      <c r="I4" s="19" t="inlineStr">
        <is>
          <t>Assistant</t>
        </is>
      </c>
      <c r="J4" s="33" t="inlineStr">
        <is>
          <t>Promotor</t>
        </is>
      </c>
      <c r="K4" s="19" t="inlineStr">
        <is>
          <t>Assistant</t>
        </is>
      </c>
      <c r="L4" s="33" t="inlineStr">
        <is>
          <t>Promotor</t>
        </is>
      </c>
      <c r="M4" s="19" t="inlineStr">
        <is>
          <t>Assistant</t>
        </is>
      </c>
      <c r="N4" s="33" t="inlineStr">
        <is>
          <t>Promotor</t>
        </is>
      </c>
      <c r="O4" s="22" t="inlineStr">
        <is>
          <t>Assistant</t>
        </is>
      </c>
      <c r="P4" s="6" t="n"/>
      <c r="Q4" s="6" t="n"/>
      <c r="R4" s="6" t="n"/>
      <c r="S4" s="6" t="n"/>
      <c r="T4" s="6" t="n"/>
      <c r="U4" s="6" t="n"/>
      <c r="V4" s="6" t="n"/>
    </row>
    <row r="5" ht="22.5" customHeight="1" s="141">
      <c r="A5" s="9" t="inlineStr">
        <is>
          <t>T2/T3</t>
        </is>
      </c>
      <c r="B5" s="24" t="inlineStr">
        <is>
          <t>Carolinne Pacheco</t>
        </is>
      </c>
      <c r="C5" s="38" t="n"/>
      <c r="D5" s="24" t="inlineStr">
        <is>
          <t>Carolinne Pacheco</t>
        </is>
      </c>
      <c r="E5" s="38" t="n"/>
      <c r="F5" s="24" t="inlineStr">
        <is>
          <t>Carolinne Pacheco</t>
        </is>
      </c>
      <c r="G5" s="38" t="n"/>
      <c r="H5" s="26" t="inlineStr">
        <is>
          <t>Léo Grimaldi</t>
        </is>
      </c>
      <c r="I5" s="38" t="n"/>
      <c r="J5" s="24" t="inlineStr">
        <is>
          <t>Carolinne Pacheco</t>
        </is>
      </c>
      <c r="K5" s="38" t="n"/>
      <c r="L5" s="24" t="inlineStr">
        <is>
          <t>Carolinne Pacheco</t>
        </is>
      </c>
      <c r="M5" s="38" t="n"/>
      <c r="N5" s="24" t="inlineStr">
        <is>
          <t>Carolinne Pacheco</t>
        </is>
      </c>
      <c r="O5" s="38" t="n"/>
      <c r="P5" s="6" t="n"/>
      <c r="Q5" s="13" t="inlineStr">
        <is>
          <t>Promotor</t>
        </is>
      </c>
      <c r="R5" s="13" t="inlineStr">
        <is>
          <t>Cargo</t>
        </is>
      </c>
      <c r="S5" s="13" t="inlineStr">
        <is>
          <t>Turnos</t>
        </is>
      </c>
      <c r="T5" s="13" t="inlineStr">
        <is>
          <t>Solo</t>
        </is>
      </c>
      <c r="U5" s="13" t="inlineStr">
        <is>
          <t>Assistant</t>
        </is>
      </c>
      <c r="V5" s="6" t="n"/>
    </row>
    <row r="6" ht="22.5" customHeight="1" s="141">
      <c r="A6" s="9" t="inlineStr">
        <is>
          <t>T4/T5</t>
        </is>
      </c>
      <c r="B6" s="42" t="inlineStr">
        <is>
          <t>Ignacio Canelo</t>
        </is>
      </c>
      <c r="C6" s="44" t="n"/>
      <c r="D6" s="42" t="inlineStr">
        <is>
          <t>Ignacio Canelo</t>
        </is>
      </c>
      <c r="E6" s="44" t="n"/>
      <c r="F6" s="42" t="inlineStr">
        <is>
          <t>Ignacio Canelo</t>
        </is>
      </c>
      <c r="G6" s="44" t="n"/>
      <c r="H6" s="44" t="inlineStr">
        <is>
          <t>Carlos de Lucca</t>
        </is>
      </c>
      <c r="I6" s="44" t="n"/>
      <c r="J6" s="42" t="inlineStr">
        <is>
          <t>Ignacio Canelo</t>
        </is>
      </c>
      <c r="K6" s="44" t="n"/>
      <c r="L6" s="42" t="inlineStr">
        <is>
          <t>Ignacio Canelo</t>
        </is>
      </c>
      <c r="M6" s="44" t="n"/>
      <c r="N6" s="42" t="inlineStr">
        <is>
          <t>Ignacio Canelo</t>
        </is>
      </c>
      <c r="O6" s="44" t="n"/>
      <c r="P6" s="6" t="n"/>
      <c r="Q6" s="47" t="inlineStr">
        <is>
          <t>Carolinne Pacheco</t>
        </is>
      </c>
      <c r="R6" s="49" t="inlineStr">
        <is>
          <t>Secundus | T2/T3</t>
        </is>
      </c>
      <c r="S6" s="52">
        <f>COUNTIF($B$5:$O$22,Q6)</f>
        <v/>
      </c>
      <c r="T6" s="52">
        <f>COUNTIF(B:B,Q6)+COUNTIF(D:D,Q6)+COUNTIF(F:F,Q6)+COUNTIF(H:H,Q6)+COUNTIF(J:J,Q6)+COUNTIF(L:L,Q6)+COUNTIF(N:N,Q6)</f>
        <v/>
      </c>
      <c r="U6" s="52">
        <f>COUNTIF(C:C,Q6)+COUNTIF(E:E,Q6)+COUNTIF(G:G,Q6)+COUNTIF(I:I,Q6)+COUNTIF(K:K,Q6)+COUNTIF(M:M,Q6)+COUNTIF(O:O,Q6)</f>
        <v/>
      </c>
      <c r="V6" s="6" t="n"/>
    </row>
    <row r="7" ht="22.5" customHeight="1" s="141">
      <c r="A7" s="61" t="inlineStr">
        <is>
          <t>T6/T1</t>
        </is>
      </c>
      <c r="B7" s="65" t="inlineStr">
        <is>
          <t>Pedro Ribeiro</t>
        </is>
      </c>
      <c r="C7" s="66" t="n"/>
      <c r="D7" s="65" t="inlineStr">
        <is>
          <t>Pedro Ribeiro</t>
        </is>
      </c>
      <c r="E7" s="66" t="n"/>
      <c r="F7" s="62" t="inlineStr">
        <is>
          <t>Natasha Tem Tem</t>
        </is>
      </c>
      <c r="G7" s="66" t="n"/>
      <c r="H7" s="65" t="inlineStr">
        <is>
          <t>Pedro Ribeiro</t>
        </is>
      </c>
      <c r="I7" s="66" t="n"/>
      <c r="J7" s="65" t="inlineStr">
        <is>
          <t>Pedro Ribeiro</t>
        </is>
      </c>
      <c r="K7" s="66" t="n"/>
      <c r="L7" s="65" t="inlineStr">
        <is>
          <t>Pedro Ribeiro</t>
        </is>
      </c>
      <c r="M7" s="66" t="n"/>
      <c r="N7" s="62" t="inlineStr">
        <is>
          <t>Natasha Tem Tem</t>
        </is>
      </c>
      <c r="O7" s="66" t="n"/>
      <c r="P7" s="6" t="n"/>
      <c r="Q7" s="64" t="inlineStr">
        <is>
          <t>Léo Grimaldi</t>
        </is>
      </c>
      <c r="R7" s="64" t="inlineStr">
        <is>
          <t>Secundus | T2/T3</t>
        </is>
      </c>
      <c r="S7" s="52">
        <f>COUNTIF($B$5:$O$22,Q7)</f>
        <v/>
      </c>
      <c r="T7" s="52">
        <f>COUNTIF(B:B,Q7)+COUNTIF(D:D,Q7)+COUNTIF(F:F,Q7)+COUNTIF(H:H,Q7)+COUNTIF(J:J,Q7)+COUNTIF(L:L,Q7)+COUNTIF(N:N,Q7)</f>
        <v/>
      </c>
      <c r="U7" s="52">
        <f>COUNTIF(C:C,Q7)+COUNTIF(E:E,Q7)+COUNTIF(G:G,Q7)+COUNTIF(I:I,Q7)+COUNTIF(K:K,Q7)+COUNTIF(M:M,Q7)+COUNTIF(O:O,Q7)</f>
        <v/>
      </c>
      <c r="V7" s="6" t="n"/>
    </row>
    <row r="8" ht="22.5" customHeight="1" s="141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6" t="n"/>
      <c r="Q8" s="72" t="inlineStr">
        <is>
          <t>Oliver Melo</t>
        </is>
      </c>
      <c r="R8" s="127" t="inlineStr">
        <is>
          <t>Secundus T2/T3</t>
        </is>
      </c>
      <c r="S8" s="52">
        <f>COUNTIF($B$5:$O$22,Q8)</f>
        <v/>
      </c>
      <c r="T8" s="52">
        <f>COUNTIF(B:B,Q8)+COUNTIF(D:D,Q8)+COUNTIF(F:F,Q8)+COUNTIF(H:H,Q8)+COUNTIF(J:J,Q8)+COUNTIF(L:L,Q8)+COUNTIF(N:N,Q8)</f>
        <v/>
      </c>
      <c r="U8" s="52">
        <f>COUNTIF(C:C,Q8)+COUNTIF(E:E,Q8)+COUNTIF(G:G,Q8)+COUNTIF(I:I,Q8)+COUNTIF(K:K,Q8)+COUNTIF(M:M,Q8)+COUNTIF(O:O,Q8)</f>
        <v/>
      </c>
      <c r="V8" s="6" t="n"/>
    </row>
    <row r="9" ht="24.75" customHeight="1" s="141">
      <c r="A9" s="149" t="inlineStr">
        <is>
          <t>Vanessa Violet 057m + Desiree 018m/018s/018t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4" t="n"/>
      <c r="P9" s="6" t="n"/>
      <c r="Q9" s="68" t="inlineStr">
        <is>
          <t>Gabriela Storini</t>
        </is>
      </c>
      <c r="R9" s="128" t="inlineStr">
        <is>
          <t>Primaris | T4/T5</t>
        </is>
      </c>
      <c r="S9" s="52">
        <f>COUNTIF($B$5:$O$22,Q9)</f>
        <v/>
      </c>
      <c r="T9" s="52">
        <f>COUNTIF(B:B,Q9)+COUNTIF(D:D,Q9)+COUNTIF(F:F,Q9)+COUNTIF(H:H,Q9)+COUNTIF(J:J,Q9)+COUNTIF(L:L,Q9)+COUNTIF(N:N,Q9)</f>
        <v/>
      </c>
      <c r="U9" s="52">
        <f>COUNTIF(C:C,Q9)+COUNTIF(E:E,Q9)+COUNTIF(G:G,Q9)+COUNTIF(I:I,Q9)+COUNTIF(K:K,Q9)+COUNTIF(M:M,Q9)+COUNTIF(O:O,Q9)</f>
        <v/>
      </c>
      <c r="V9" s="6" t="n"/>
    </row>
    <row r="10" ht="22.5" customHeight="1" s="141">
      <c r="A10" s="9" t="inlineStr">
        <is>
          <t>Dia</t>
        </is>
      </c>
      <c r="B10" s="150">
        <f>B$3</f>
        <v/>
      </c>
      <c r="C10" s="146" t="n"/>
      <c r="D10" s="150">
        <f>D$3</f>
        <v/>
      </c>
      <c r="E10" s="146" t="n"/>
      <c r="F10" s="150">
        <f>F$3</f>
        <v/>
      </c>
      <c r="G10" s="146" t="n"/>
      <c r="H10" s="150">
        <f>H$3</f>
        <v/>
      </c>
      <c r="I10" s="146" t="n"/>
      <c r="J10" s="150">
        <f>J$3</f>
        <v/>
      </c>
      <c r="K10" s="146" t="n"/>
      <c r="L10" s="150">
        <f>L$3</f>
        <v/>
      </c>
      <c r="M10" s="146" t="n"/>
      <c r="N10" s="151">
        <f>N$3</f>
        <v/>
      </c>
      <c r="O10" s="148" t="n"/>
      <c r="P10" s="6" t="n"/>
      <c r="Q10" s="71" t="inlineStr">
        <is>
          <t>Ignacio Canelo</t>
        </is>
      </c>
      <c r="R10" s="71" t="inlineStr">
        <is>
          <t>Secundus | T4/T5</t>
        </is>
      </c>
      <c r="S10" s="52">
        <f>COUNTIF($B$5:$O$22,Q10)</f>
        <v/>
      </c>
      <c r="T10" s="52">
        <f>COUNTIF(B:B,Q10)+COUNTIF(D:D,Q10)+COUNTIF(F:F,Q10)+COUNTIF(H:H,Q10)+COUNTIF(J:J,Q10)+COUNTIF(L:L,Q10)+COUNTIF(N:N,Q10)</f>
        <v/>
      </c>
      <c r="U10" s="52">
        <f>COUNTIF(C:C,Q10)+COUNTIF(E:E,Q10)+COUNTIF(G:G,Q10)+COUNTIF(I:I,Q10)+COUNTIF(K:K,Q10)+COUNTIF(M:M,Q10)+COUNTIF(O:O,Q10)</f>
        <v/>
      </c>
      <c r="V10" s="6" t="n"/>
    </row>
    <row r="11" ht="22.5" customHeight="1" s="141">
      <c r="A11" s="9" t="inlineStr">
        <is>
          <t>Cargo</t>
        </is>
      </c>
      <c r="B11" s="33" t="inlineStr">
        <is>
          <t>Promotor</t>
        </is>
      </c>
      <c r="C11" s="19" t="inlineStr">
        <is>
          <t>Assistant</t>
        </is>
      </c>
      <c r="D11" s="33" t="inlineStr">
        <is>
          <t>Promotor</t>
        </is>
      </c>
      <c r="E11" s="19" t="inlineStr">
        <is>
          <t>Assistant</t>
        </is>
      </c>
      <c r="F11" s="33" t="inlineStr">
        <is>
          <t>Promotor</t>
        </is>
      </c>
      <c r="G11" s="19" t="inlineStr">
        <is>
          <t>Assistant</t>
        </is>
      </c>
      <c r="H11" s="33" t="inlineStr">
        <is>
          <t>Promotor</t>
        </is>
      </c>
      <c r="I11" s="19" t="inlineStr">
        <is>
          <t>Assistant</t>
        </is>
      </c>
      <c r="J11" s="33" t="inlineStr">
        <is>
          <t>Promotor</t>
        </is>
      </c>
      <c r="K11" s="19" t="inlineStr">
        <is>
          <t>Assistant</t>
        </is>
      </c>
      <c r="L11" s="33" t="inlineStr">
        <is>
          <t>Promotor</t>
        </is>
      </c>
      <c r="M11" s="19" t="inlineStr">
        <is>
          <t>Assistant</t>
        </is>
      </c>
      <c r="N11" s="33" t="inlineStr">
        <is>
          <t>Promotor</t>
        </is>
      </c>
      <c r="O11" s="22" t="inlineStr">
        <is>
          <t>Assistant</t>
        </is>
      </c>
      <c r="P11" s="6" t="n"/>
      <c r="Q11" s="74" t="inlineStr">
        <is>
          <t>Carlos de Lucca</t>
        </is>
      </c>
      <c r="R11" s="129" t="inlineStr">
        <is>
          <t>Secundus | T4/T5</t>
        </is>
      </c>
      <c r="S11" s="52">
        <f>COUNTIF($B$5:$O$22,Q11)</f>
        <v/>
      </c>
      <c r="T11" s="52">
        <f>COUNTIF(B:B,Q11)+COUNTIF(D:D,Q11)+COUNTIF(F:F,Q11)+COUNTIF(H:H,Q11)+COUNTIF(J:J,Q11)+COUNTIF(L:L,Q11)+COUNTIF(N:N,Q11)</f>
        <v/>
      </c>
      <c r="U11" s="52">
        <f>COUNTIF(C:C,Q11)+COUNTIF(E:E,Q11)+COUNTIF(G:G,Q11)+COUNTIF(I:I,Q11)+COUNTIF(K:K,Q11)+COUNTIF(M:M,Q11)+COUNTIF(O:O,Q11)</f>
        <v/>
      </c>
      <c r="V11" s="6" t="n"/>
    </row>
    <row r="12" ht="22.5" customHeight="1" s="141">
      <c r="A12" s="9" t="inlineStr">
        <is>
          <t>T2/T3</t>
        </is>
      </c>
      <c r="B12" s="38" t="inlineStr">
        <is>
          <t>Oliver Melo</t>
        </is>
      </c>
      <c r="C12" s="45" t="n"/>
      <c r="D12" s="26" t="inlineStr">
        <is>
          <t>Léo Grimaldi</t>
        </is>
      </c>
      <c r="E12" s="45" t="n"/>
      <c r="F12" s="26" t="inlineStr">
        <is>
          <t>Léo Grimaldi</t>
        </is>
      </c>
      <c r="G12" s="38" t="n"/>
      <c r="H12" s="38" t="inlineStr">
        <is>
          <t>Oliver Melo</t>
        </is>
      </c>
      <c r="I12" s="45" t="n"/>
      <c r="J12" s="38" t="inlineStr">
        <is>
          <t>Oliver Melo</t>
        </is>
      </c>
      <c r="K12" s="38" t="n"/>
      <c r="L12" s="26" t="inlineStr">
        <is>
          <t>Léo Grimaldi</t>
        </is>
      </c>
      <c r="M12" s="38" t="n"/>
      <c r="N12" s="26" t="inlineStr">
        <is>
          <t>Léo Grimaldi</t>
        </is>
      </c>
      <c r="O12" s="38" t="n"/>
      <c r="P12" s="6" t="n"/>
      <c r="Q12" s="75" t="inlineStr">
        <is>
          <t>Natasha Tem Tem</t>
        </is>
      </c>
      <c r="R12" s="75" t="inlineStr">
        <is>
          <t>Primaris | T6T1</t>
        </is>
      </c>
      <c r="S12" s="52">
        <f>COUNTIF($B$5:$O$22,Q12)</f>
        <v/>
      </c>
      <c r="T12" s="52">
        <f>COUNTIF(B:B,Q12)+COUNTIF(D:D,Q12)+COUNTIF(F:F,Q12)+COUNTIF(H:H,Q12)+COUNTIF(J:J,Q12)+COUNTIF(L:L,Q12)+COUNTIF(N:N,Q12)</f>
        <v/>
      </c>
      <c r="U12" s="52">
        <f>COUNTIF(C:C,Q12)+COUNTIF(E:E,Q12)+COUNTIF(G:G,Q12)+COUNTIF(I:I,Q12)+COUNTIF(K:K,Q12)+COUNTIF(M:M,Q12)+COUNTIF(O:O,Q12)</f>
        <v/>
      </c>
      <c r="V12" s="6" t="n"/>
    </row>
    <row r="13" ht="22.5" customHeight="1" s="141">
      <c r="A13" s="9" t="inlineStr">
        <is>
          <t>T4/T5</t>
        </is>
      </c>
      <c r="B13" s="44" t="inlineStr">
        <is>
          <t>Carlos de Lucca</t>
        </is>
      </c>
      <c r="C13" s="45" t="n"/>
      <c r="D13" s="39" t="inlineStr">
        <is>
          <t>Gabriela Storini</t>
        </is>
      </c>
      <c r="E13" s="44" t="n"/>
      <c r="F13" s="44" t="inlineStr">
        <is>
          <t>Carlos de Lucca</t>
        </is>
      </c>
      <c r="G13" s="45" t="n"/>
      <c r="H13" s="39" t="inlineStr">
        <is>
          <t>Gabriela Storini</t>
        </is>
      </c>
      <c r="I13" s="45" t="n"/>
      <c r="J13" s="44" t="inlineStr">
        <is>
          <t>Carlos de Lucca</t>
        </is>
      </c>
      <c r="K13" s="45" t="n"/>
      <c r="L13" s="39" t="inlineStr">
        <is>
          <t>Gabriela Storini</t>
        </is>
      </c>
      <c r="M13" s="42" t="n"/>
      <c r="N13" s="44" t="inlineStr">
        <is>
          <t>Carlos de Lucca</t>
        </is>
      </c>
      <c r="O13" s="35" t="n"/>
      <c r="P13" s="76" t="n"/>
      <c r="Q13" s="15" t="inlineStr">
        <is>
          <t>Pedro Ribeiro</t>
        </is>
      </c>
      <c r="R13" s="15" t="inlineStr">
        <is>
          <t>Gran Primaris | T6/T1</t>
        </is>
      </c>
      <c r="S13" s="52">
        <f>COUNTIF($B$5:$O$22,Q13)</f>
        <v/>
      </c>
      <c r="T13" s="52">
        <f>COUNTIF(B:B,Q13)+COUNTIF(D:D,Q13)+COUNTIF(F:F,Q13)+COUNTIF(H:H,Q13)+COUNTIF(J:J,Q13)+COUNTIF(L:L,Q13)+COUNTIF(N:N,Q13)</f>
        <v/>
      </c>
      <c r="U13" s="52">
        <f>COUNTIF(C:C,Q13)+COUNTIF(E:E,Q13)+COUNTIF(G:G,Q13)+COUNTIF(I:I,Q13)+COUNTIF(K:K,Q13)+COUNTIF(M:M,Q13)+COUNTIF(O:O,Q13)</f>
        <v/>
      </c>
      <c r="V13" s="76" t="n"/>
    </row>
    <row r="14" ht="22.5" customHeight="1" s="141">
      <c r="A14" s="61" t="inlineStr">
        <is>
          <t>T6/T1</t>
        </is>
      </c>
      <c r="B14" s="62" t="inlineStr">
        <is>
          <t>Natasha Tem Tem</t>
        </is>
      </c>
      <c r="C14" s="66" t="n"/>
      <c r="D14" s="62" t="inlineStr">
        <is>
          <t>Natasha Tem Tem</t>
        </is>
      </c>
      <c r="E14" s="104" t="n"/>
      <c r="F14" s="66" t="n"/>
      <c r="G14" s="62" t="n"/>
      <c r="H14" s="66" t="n"/>
      <c r="I14" s="104" t="n"/>
      <c r="J14" s="62" t="inlineStr">
        <is>
          <t>Natasha Tem Tem</t>
        </is>
      </c>
      <c r="K14" s="104" t="n"/>
      <c r="L14" s="62" t="inlineStr">
        <is>
          <t>Natasha Tem Tem</t>
        </is>
      </c>
      <c r="M14" s="104" t="n"/>
      <c r="N14" s="66" t="n"/>
      <c r="O14" s="66" t="n"/>
      <c r="P14" s="6" t="n"/>
      <c r="Q14" s="80" t="n"/>
      <c r="R14" s="130" t="inlineStr">
        <is>
          <t>Secundus | T6T1</t>
        </is>
      </c>
      <c r="S14" s="52">
        <f>COUNTIF($B$5:$O$22,Q14)</f>
        <v/>
      </c>
      <c r="T14" s="52">
        <f>COUNTIF(B:B,Q14)+COUNTIF(D:D,Q14)+COUNTIF(F:F,Q14)+COUNTIF(H:H,Q14)+COUNTIF(J:J,Q14)+COUNTIF(L:L,Q14)+COUNTIF(N:N,Q14)</f>
        <v/>
      </c>
      <c r="U14" s="52">
        <f>COUNTIF(C:C,Q14)+COUNTIF(E:E,Q14)+COUNTIF(G:G,Q14)+COUNTIF(I:I,Q14)+COUNTIF(K:K,Q14)+COUNTIF(M:M,Q14)+COUNTIF(O:O,Q14)</f>
        <v/>
      </c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33" t="inlineStr">
        <is>
          <t>tertius hipotetico1</t>
        </is>
      </c>
      <c r="R15" s="131" t="inlineStr">
        <is>
          <t>Tertius | T2T3</t>
        </is>
      </c>
      <c r="S15" s="52">
        <f>COUNTIF($B$5:$O$22,Q15)</f>
        <v/>
      </c>
      <c r="T15" s="52">
        <f>COUNTIF(B:B,Q15)+COUNTIF(D:D,Q15)+COUNTIF(F:F,Q15)+COUNTIF(H:H,Q15)+COUNTIF(J:J,Q15)+COUNTIF(L:L,Q15)+COUNTIF(N:N,Q15)</f>
        <v/>
      </c>
      <c r="U15" s="52">
        <f>COUNTIF(C:C,Q15)+COUNTIF(E:E,Q15)+COUNTIF(G:G,Q15)+COUNTIF(I:I,Q15)+COUNTIF(K:K,Q15)+COUNTIF(M:M,Q15)+COUNTIF(O:O,Q15)</f>
        <v/>
      </c>
      <c r="V15" s="6" t="n"/>
    </row>
    <row r="16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  <c r="P16" s="6" t="n"/>
      <c r="Q16" s="33" t="inlineStr">
        <is>
          <t>tertius hipotetico2</t>
        </is>
      </c>
      <c r="R16" s="131" t="inlineStr">
        <is>
          <t>Tertius | T4T5</t>
        </is>
      </c>
      <c r="S16" s="52">
        <f>COUNTIF($B$5:$O$22,Q16)</f>
        <v/>
      </c>
      <c r="T16" s="52">
        <f>COUNTIF(B:B,Q16)+COUNTIF(D:D,Q16)+COUNTIF(F:F,Q16)+COUNTIF(H:H,Q16)+COUNTIF(J:J,Q16)+COUNTIF(L:L,Q16)+COUNTIF(N:N,Q16)</f>
        <v/>
      </c>
      <c r="U16" s="52">
        <f>COUNTIF(C:C,Q16)+COUNTIF(E:E,Q16)+COUNTIF(G:G,Q16)+COUNTIF(I:I,Q16)+COUNTIF(K:K,Q16)+COUNTIF(M:M,Q16)+COUNTIF(O:O,Q16)</f>
        <v/>
      </c>
      <c r="V16" s="6" t="n"/>
    </row>
    <row r="17">
      <c r="A17" s="149" t="inlineStr">
        <is>
          <t>Time 3 Hipotetico</t>
        </is>
      </c>
      <c r="B17" s="143" t="n"/>
      <c r="C17" s="143" t="n"/>
      <c r="D17" s="143" t="n"/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4" t="n"/>
      <c r="P17" s="6" t="n"/>
      <c r="Q17" s="133" t="inlineStr">
        <is>
          <t>Diogo Ciesielski</t>
        </is>
      </c>
      <c r="R17" s="133" t="inlineStr">
        <is>
          <t>Tertius | T6T1</t>
        </is>
      </c>
      <c r="S17" s="52">
        <f>COUNTIF($B$5:$O$22,Q17)</f>
        <v/>
      </c>
      <c r="T17" s="52">
        <f>COUNTIF(B:B,Q17)+COUNTIF(D:D,Q17)+COUNTIF(F:F,Q17)+COUNTIF(H:H,Q17)+COUNTIF(J:J,Q17)+COUNTIF(L:L,Q17)+COUNTIF(N:N,Q17)</f>
        <v/>
      </c>
      <c r="U17" s="52">
        <f>COUNTIF(C:C,Q17)+COUNTIF(E:E,Q17)+COUNTIF(G:G,Q17)+COUNTIF(I:I,Q17)+COUNTIF(K:K,Q17)+COUNTIF(M:M,Q17)+COUNTIF(O:O,Q17)</f>
        <v/>
      </c>
      <c r="V17" s="6" t="n"/>
    </row>
    <row r="18">
      <c r="A18" s="9" t="inlineStr">
        <is>
          <t>Dia</t>
        </is>
      </c>
      <c r="B18" s="150">
        <f>B$3</f>
        <v/>
      </c>
      <c r="C18" s="146" t="n"/>
      <c r="D18" s="150">
        <f>D$3</f>
        <v/>
      </c>
      <c r="E18" s="146" t="n"/>
      <c r="F18" s="150">
        <f>F$3</f>
        <v/>
      </c>
      <c r="G18" s="146" t="n"/>
      <c r="H18" s="150">
        <f>H$3</f>
        <v/>
      </c>
      <c r="I18" s="146" t="n"/>
      <c r="J18" s="150">
        <f>J$3</f>
        <v/>
      </c>
      <c r="K18" s="146" t="n"/>
      <c r="L18" s="150">
        <f>L$3</f>
        <v/>
      </c>
      <c r="M18" s="146" t="n"/>
      <c r="N18" s="151">
        <f>N$3</f>
        <v/>
      </c>
      <c r="O18" s="148" t="n"/>
      <c r="P18" s="6" t="n"/>
      <c r="Q18" s="134" t="n"/>
      <c r="R18" s="134" t="n"/>
      <c r="S18" s="82" t="n"/>
      <c r="T18" s="6" t="n"/>
      <c r="U18" s="6" t="n"/>
      <c r="V18" s="6" t="n"/>
    </row>
    <row r="19">
      <c r="A19" s="9" t="inlineStr">
        <is>
          <t>Cargo</t>
        </is>
      </c>
      <c r="B19" s="33" t="inlineStr">
        <is>
          <t>Promotor</t>
        </is>
      </c>
      <c r="C19" s="19" t="inlineStr">
        <is>
          <t>Assistant</t>
        </is>
      </c>
      <c r="D19" s="33" t="inlineStr">
        <is>
          <t>Promotor</t>
        </is>
      </c>
      <c r="E19" s="19" t="inlineStr">
        <is>
          <t>Assistant</t>
        </is>
      </c>
      <c r="F19" s="33" t="inlineStr">
        <is>
          <t>Promotor</t>
        </is>
      </c>
      <c r="G19" s="19" t="inlineStr">
        <is>
          <t>Assistant</t>
        </is>
      </c>
      <c r="H19" s="33" t="inlineStr">
        <is>
          <t>Promotor</t>
        </is>
      </c>
      <c r="I19" s="19" t="inlineStr">
        <is>
          <t>Assistant</t>
        </is>
      </c>
      <c r="J19" s="33" t="inlineStr">
        <is>
          <t>Promotor</t>
        </is>
      </c>
      <c r="K19" s="19" t="inlineStr">
        <is>
          <t>Assistant</t>
        </is>
      </c>
      <c r="L19" s="33" t="inlineStr">
        <is>
          <t>Promotor</t>
        </is>
      </c>
      <c r="M19" s="19" t="inlineStr">
        <is>
          <t>Assistant</t>
        </is>
      </c>
      <c r="N19" s="33" t="inlineStr">
        <is>
          <t>Promotor</t>
        </is>
      </c>
      <c r="O19" s="22" t="inlineStr">
        <is>
          <t>Assistant</t>
        </is>
      </c>
      <c r="P19" s="6" t="n"/>
      <c r="Q19" s="135" t="n"/>
      <c r="R19" s="135" t="n"/>
      <c r="S19" s="82" t="n"/>
      <c r="T19" s="6" t="n"/>
      <c r="U19" s="6" t="n"/>
      <c r="V19" s="6" t="n"/>
    </row>
    <row r="20">
      <c r="A20" s="9" t="inlineStr">
        <is>
          <t>T2/T3</t>
        </is>
      </c>
      <c r="B20" s="33" t="inlineStr">
        <is>
          <t>tertius hipotetico1</t>
        </is>
      </c>
      <c r="C20" s="45" t="n"/>
      <c r="D20" s="33" t="inlineStr">
        <is>
          <t>tertius hipotetico1</t>
        </is>
      </c>
      <c r="E20" s="45" t="n"/>
      <c r="F20" s="38" t="inlineStr">
        <is>
          <t>Oliver Melo</t>
        </is>
      </c>
      <c r="G20" s="38" t="n"/>
      <c r="H20" s="33" t="inlineStr">
        <is>
          <t>tertius hipotetico1</t>
        </is>
      </c>
      <c r="I20" s="45" t="n"/>
      <c r="J20" s="33" t="inlineStr">
        <is>
          <t>tertius hipotetico1</t>
        </is>
      </c>
      <c r="K20" s="38" t="n"/>
      <c r="L20" s="33" t="inlineStr">
        <is>
          <t>tertius hipotetico1</t>
        </is>
      </c>
      <c r="M20" s="38" t="n"/>
      <c r="N20" s="38" t="inlineStr">
        <is>
          <t>Oliver Melo</t>
        </is>
      </c>
      <c r="O20" s="38" t="n"/>
      <c r="P20" s="6" t="n"/>
      <c r="Q20" s="136" t="n"/>
      <c r="R20" s="136" t="n"/>
      <c r="S20" s="82" t="n"/>
      <c r="T20" s="6" t="n"/>
      <c r="U20" s="6" t="n"/>
      <c r="V20" s="6" t="n"/>
    </row>
    <row r="21">
      <c r="A21" s="9" t="inlineStr">
        <is>
          <t>T4/T5</t>
        </is>
      </c>
      <c r="B21" s="33" t="inlineStr">
        <is>
          <t>tertius hipotetico2</t>
        </is>
      </c>
      <c r="C21" s="45" t="n"/>
      <c r="D21" s="33" t="inlineStr">
        <is>
          <t>tertius hipotetico2</t>
        </is>
      </c>
      <c r="E21" s="44" t="n"/>
      <c r="F21" s="39" t="inlineStr">
        <is>
          <t>Gabriela Storini</t>
        </is>
      </c>
      <c r="G21" s="45" t="n"/>
      <c r="H21" s="33" t="inlineStr">
        <is>
          <t>tertius hipotetico2</t>
        </is>
      </c>
      <c r="I21" s="45" t="n"/>
      <c r="J21" s="33" t="inlineStr">
        <is>
          <t>tertius hipotetico2</t>
        </is>
      </c>
      <c r="K21" s="45" t="n"/>
      <c r="L21" s="33" t="inlineStr">
        <is>
          <t>tertius hipotetico2</t>
        </is>
      </c>
      <c r="M21" s="42" t="n"/>
      <c r="N21" s="39" t="inlineStr">
        <is>
          <t>Gabriela Storini</t>
        </is>
      </c>
      <c r="O21" s="35" t="n"/>
      <c r="P21" s="76" t="n"/>
      <c r="Q21" s="137" t="n"/>
      <c r="R21" s="137" t="n"/>
      <c r="S21" s="82" t="n"/>
      <c r="T21" s="6" t="n"/>
      <c r="U21" s="6" t="n"/>
      <c r="V21" s="6" t="n"/>
    </row>
    <row r="22">
      <c r="A22" s="61" t="inlineStr">
        <is>
          <t>T6/T1</t>
        </is>
      </c>
      <c r="B22" s="42" t="inlineStr">
        <is>
          <t>Diogo Ciesielski</t>
        </is>
      </c>
      <c r="C22" s="66" t="n"/>
      <c r="D22" s="66" t="n"/>
      <c r="E22" s="104" t="n"/>
      <c r="F22" s="42" t="inlineStr">
        <is>
          <t>Diogo Ciesielski</t>
        </is>
      </c>
      <c r="G22" s="62" t="n"/>
      <c r="H22" s="42" t="inlineStr">
        <is>
          <t>Diogo Ciesielski</t>
        </is>
      </c>
      <c r="I22" s="104" t="n"/>
      <c r="J22" s="42" t="inlineStr">
        <is>
          <t>Diogo Ciesielski</t>
        </is>
      </c>
      <c r="K22" s="104" t="n"/>
      <c r="L22" s="66" t="n"/>
      <c r="M22" s="104" t="n"/>
      <c r="N22" s="133" t="inlineStr">
        <is>
          <t>Diogo Ciesielski</t>
        </is>
      </c>
      <c r="O22" s="66" t="n"/>
      <c r="P22" s="6" t="n"/>
      <c r="Q22" s="138" t="n"/>
      <c r="R22" s="138" t="n"/>
      <c r="S22" s="138" t="n"/>
      <c r="T22" s="138" t="n"/>
      <c r="U22" s="138" t="n"/>
      <c r="V22" s="13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139" t="n"/>
      <c r="R23" s="139" t="n"/>
      <c r="S23" s="138" t="n"/>
      <c r="T23" s="138" t="n"/>
      <c r="U23" s="138" t="n"/>
      <c r="V23" s="138" t="n"/>
    </row>
    <row r="25">
      <c r="S25" s="103" t="n"/>
    </row>
    <row r="27">
      <c r="O27" s="140" t="n"/>
    </row>
  </sheetData>
  <mergeCells count="24">
    <mergeCell ref="D10:E10"/>
    <mergeCell ref="F10:G10"/>
    <mergeCell ref="B3:C3"/>
    <mergeCell ref="H10:I10"/>
    <mergeCell ref="J10:K10"/>
    <mergeCell ref="B18:C18"/>
    <mergeCell ref="F3:G3"/>
    <mergeCell ref="L3:M3"/>
    <mergeCell ref="N3:O3"/>
    <mergeCell ref="A2:O2"/>
    <mergeCell ref="F18:G18"/>
    <mergeCell ref="L18:M18"/>
    <mergeCell ref="N18:O18"/>
    <mergeCell ref="A17:O17"/>
    <mergeCell ref="L10:M10"/>
    <mergeCell ref="B10:C10"/>
    <mergeCell ref="N10:O10"/>
    <mergeCell ref="D18:E18"/>
    <mergeCell ref="A9:O9"/>
    <mergeCell ref="D3:E3"/>
    <mergeCell ref="H3:I3"/>
    <mergeCell ref="J3:K3"/>
    <mergeCell ref="H18:I18"/>
    <mergeCell ref="J18:K18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2026-07-31T14:39:23Z</dcterms:created>
  <dcterms:modified xsi:type="dcterms:W3CDTF">2026-07-31T14:45:07Z</dcterms:modified>
</cp:coreProperties>
</file>